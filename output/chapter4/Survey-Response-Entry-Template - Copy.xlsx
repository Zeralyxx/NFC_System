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ustine mendoza\source\repos\NFC_System\output\chapter4\"/>
    </mc:Choice>
  </mc:AlternateContent>
  <xr:revisionPtr revIDLastSave="0" documentId="13_ncr:1_{3174941B-E23E-459E-BCA5-1EC3371C568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Manual" sheetId="2" r:id="rId2"/>
    <sheet name="Syste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1" i="3" l="1"/>
  <c r="AD71" i="3" s="1"/>
  <c r="AF70" i="3"/>
  <c r="AD70" i="3" s="1"/>
  <c r="AF69" i="3"/>
  <c r="AD69" i="3" s="1"/>
  <c r="AF68" i="3"/>
  <c r="AC68" i="3" s="1"/>
  <c r="AF67" i="3"/>
  <c r="AB67" i="3" s="1"/>
  <c r="AF66" i="3"/>
  <c r="AF65" i="3"/>
  <c r="AD65" i="3" s="1"/>
  <c r="AF64" i="3"/>
  <c r="AA64" i="3" s="1"/>
  <c r="AF63" i="3"/>
  <c r="AA63" i="3" s="1"/>
  <c r="AF62" i="3"/>
  <c r="AC62" i="3" s="1"/>
  <c r="AB62" i="3"/>
  <c r="AF61" i="3"/>
  <c r="AC61" i="3" s="1"/>
  <c r="AF60" i="3"/>
  <c r="AF59" i="3"/>
  <c r="AF58" i="3"/>
  <c r="Z58" i="3" s="1"/>
  <c r="AF57" i="3"/>
  <c r="AD57" i="3" s="1"/>
  <c r="AF56" i="3"/>
  <c r="Z56" i="3" s="1"/>
  <c r="AB56" i="3"/>
  <c r="AF55" i="3"/>
  <c r="AA55" i="3" s="1"/>
  <c r="AC55" i="3"/>
  <c r="AF54" i="3"/>
  <c r="AD54" i="3" s="1"/>
  <c r="AF53" i="3"/>
  <c r="Z53" i="3" s="1"/>
  <c r="AF52" i="3"/>
  <c r="AC52" i="3"/>
  <c r="AF51" i="3"/>
  <c r="AB51" i="3" s="1"/>
  <c r="AF50" i="3"/>
  <c r="AD50" i="3" s="1"/>
  <c r="AF49" i="3"/>
  <c r="Z49" i="3" s="1"/>
  <c r="AF48" i="3"/>
  <c r="AA48" i="3" s="1"/>
  <c r="AC48" i="3"/>
  <c r="AF47" i="3"/>
  <c r="AA47" i="3" s="1"/>
  <c r="AF46" i="3"/>
  <c r="AC46" i="3" s="1"/>
  <c r="AF45" i="3"/>
  <c r="AC45" i="3" s="1"/>
  <c r="AD45" i="3"/>
  <c r="AF44" i="3"/>
  <c r="AA44" i="3" s="1"/>
  <c r="AF43" i="3"/>
  <c r="AF42" i="3"/>
  <c r="Z42" i="3" s="1"/>
  <c r="AF41" i="3"/>
  <c r="AF40" i="3"/>
  <c r="Z40" i="3" s="1"/>
  <c r="AB40" i="3"/>
  <c r="AF39" i="3"/>
  <c r="AD39" i="3" s="1"/>
  <c r="AF38" i="3"/>
  <c r="AD38" i="3" s="1"/>
  <c r="AF37" i="3"/>
  <c r="AB37" i="3" s="1"/>
  <c r="AF36" i="3"/>
  <c r="AC36" i="3" s="1"/>
  <c r="AF35" i="3"/>
  <c r="AB35" i="3" s="1"/>
  <c r="AD35" i="3"/>
  <c r="AF34" i="3"/>
  <c r="AF33" i="3"/>
  <c r="AD33" i="3" s="1"/>
  <c r="AF32" i="3"/>
  <c r="AA32" i="3" s="1"/>
  <c r="AF31" i="3"/>
  <c r="AA31" i="3" s="1"/>
  <c r="AF30" i="3"/>
  <c r="AC30" i="3" s="1"/>
  <c r="AF29" i="3"/>
  <c r="AC29" i="3" s="1"/>
  <c r="AF28" i="3"/>
  <c r="AF27" i="3"/>
  <c r="AF26" i="3"/>
  <c r="Z26" i="3" s="1"/>
  <c r="AB26" i="3"/>
  <c r="AF25" i="3"/>
  <c r="AD25" i="3" s="1"/>
  <c r="AF24" i="3"/>
  <c r="AB24" i="3" s="1"/>
  <c r="AD24" i="3"/>
  <c r="AA24" i="3"/>
  <c r="Z24" i="3"/>
  <c r="AF23" i="3"/>
  <c r="AC23" i="3" s="1"/>
  <c r="AB23" i="3"/>
  <c r="AA23" i="3"/>
  <c r="AF22" i="3"/>
  <c r="AD22" i="3" s="1"/>
  <c r="AF21" i="3"/>
  <c r="AB21" i="3" s="1"/>
  <c r="AF20" i="3"/>
  <c r="AC20" i="3" s="1"/>
  <c r="AF19" i="3"/>
  <c r="AB19" i="3" s="1"/>
  <c r="AF18" i="3"/>
  <c r="AD18" i="3" s="1"/>
  <c r="AF17" i="3"/>
  <c r="AD17" i="3" s="1"/>
  <c r="AF16" i="3"/>
  <c r="AA16" i="3" s="1"/>
  <c r="AC16" i="3"/>
  <c r="AF15" i="3"/>
  <c r="AA15" i="3"/>
  <c r="AF14" i="3"/>
  <c r="AB14" i="3" s="1"/>
  <c r="Z14" i="3"/>
  <c r="AF13" i="3"/>
  <c r="AC13" i="3" s="1"/>
  <c r="AA13" i="3"/>
  <c r="Z13" i="3"/>
  <c r="AF12" i="3"/>
  <c r="AF11" i="3"/>
  <c r="AB11" i="3" s="1"/>
  <c r="AF10" i="3"/>
  <c r="Z10" i="3" s="1"/>
  <c r="AF9" i="3"/>
  <c r="AD9" i="3"/>
  <c r="AC9" i="3"/>
  <c r="Z9" i="3"/>
  <c r="AF8" i="3"/>
  <c r="AF7" i="3"/>
  <c r="AC7" i="3" s="1"/>
  <c r="AF6" i="3"/>
  <c r="AD6" i="3" s="1"/>
  <c r="AF5" i="3"/>
  <c r="AF4" i="3"/>
  <c r="AC4" i="3" s="1"/>
  <c r="AF3" i="3"/>
  <c r="AB3" i="3" s="1"/>
  <c r="AF2" i="3"/>
  <c r="AF71" i="2"/>
  <c r="AC71" i="2" s="1"/>
  <c r="AF70" i="2"/>
  <c r="AA70" i="2" s="1"/>
  <c r="AF69" i="2"/>
  <c r="AA69" i="2" s="1"/>
  <c r="AF68" i="2"/>
  <c r="AF67" i="2"/>
  <c r="AC67" i="2" s="1"/>
  <c r="AF66" i="2"/>
  <c r="AF65" i="2"/>
  <c r="AF64" i="2"/>
  <c r="Z64" i="2" s="1"/>
  <c r="AF63" i="2"/>
  <c r="AC63" i="2" s="1"/>
  <c r="AD63" i="2"/>
  <c r="AF62" i="2"/>
  <c r="AC62" i="2" s="1"/>
  <c r="AD62" i="2"/>
  <c r="AF61" i="2"/>
  <c r="AC61" i="2" s="1"/>
  <c r="AD61" i="2"/>
  <c r="AF60" i="2"/>
  <c r="AD60" i="2" s="1"/>
  <c r="AF59" i="2"/>
  <c r="AB59" i="2" s="1"/>
  <c r="AF58" i="2"/>
  <c r="AC58" i="2" s="1"/>
  <c r="AF57" i="2"/>
  <c r="AB57" i="2" s="1"/>
  <c r="AC57" i="2"/>
  <c r="Z57" i="2"/>
  <c r="AF56" i="2"/>
  <c r="AA56" i="2" s="1"/>
  <c r="AF55" i="2"/>
  <c r="AA55" i="2"/>
  <c r="Z55" i="2"/>
  <c r="AF54" i="2"/>
  <c r="AA54" i="2" s="1"/>
  <c r="AF53" i="2"/>
  <c r="AA53" i="2" s="1"/>
  <c r="AF52" i="2"/>
  <c r="AC52" i="2" s="1"/>
  <c r="AF51" i="2"/>
  <c r="AC51" i="2" s="1"/>
  <c r="Z51" i="2"/>
  <c r="AF50" i="2"/>
  <c r="AF49" i="2"/>
  <c r="AB49" i="2" s="1"/>
  <c r="AF48" i="2"/>
  <c r="Z48" i="2" s="1"/>
  <c r="AC48" i="2"/>
  <c r="AF47" i="2"/>
  <c r="AC47" i="2"/>
  <c r="Z47" i="2"/>
  <c r="AF46" i="2"/>
  <c r="AA46" i="2"/>
  <c r="AF45" i="2"/>
  <c r="AD45" i="2"/>
  <c r="AC45" i="2"/>
  <c r="AB45" i="2"/>
  <c r="AA45" i="2"/>
  <c r="AF44" i="2"/>
  <c r="AD44" i="2" s="1"/>
  <c r="AA44" i="2"/>
  <c r="AF43" i="2"/>
  <c r="AF42" i="2"/>
  <c r="AC42" i="2" s="1"/>
  <c r="AF41" i="2"/>
  <c r="AA41" i="2" s="1"/>
  <c r="AB41" i="2"/>
  <c r="Z41" i="2"/>
  <c r="AF40" i="2"/>
  <c r="AA40" i="2" s="1"/>
  <c r="AD40" i="2"/>
  <c r="AF39" i="2"/>
  <c r="AF38" i="2"/>
  <c r="AA38" i="2" s="1"/>
  <c r="AD38" i="2"/>
  <c r="AB38" i="2"/>
  <c r="Z38" i="2"/>
  <c r="AF37" i="2"/>
  <c r="AA37" i="2" s="1"/>
  <c r="AF36" i="2"/>
  <c r="AC36" i="2" s="1"/>
  <c r="AF35" i="2"/>
  <c r="AC35" i="2" s="1"/>
  <c r="AF34" i="2"/>
  <c r="AD34" i="2" s="1"/>
  <c r="AA34" i="2"/>
  <c r="AF33" i="2"/>
  <c r="AB33" i="2" s="1"/>
  <c r="AF32" i="2"/>
  <c r="Z32" i="2" s="1"/>
  <c r="AD32" i="2"/>
  <c r="AC32" i="2"/>
  <c r="AB32" i="2"/>
  <c r="AA32" i="2"/>
  <c r="AF31" i="2"/>
  <c r="AD31" i="2" s="1"/>
  <c r="AF30" i="2"/>
  <c r="AD30" i="2" s="1"/>
  <c r="AC30" i="2"/>
  <c r="AB30" i="2"/>
  <c r="AF29" i="2"/>
  <c r="AB29" i="2" s="1"/>
  <c r="AD29" i="2"/>
  <c r="AC29" i="2"/>
  <c r="AF28" i="2"/>
  <c r="AD28" i="2" s="1"/>
  <c r="Z28" i="2"/>
  <c r="AF27" i="2"/>
  <c r="AB27" i="2" s="1"/>
  <c r="AF26" i="2"/>
  <c r="AF25" i="2"/>
  <c r="AA25" i="2" s="1"/>
  <c r="AF24" i="2"/>
  <c r="AD24" i="2" s="1"/>
  <c r="AF23" i="2"/>
  <c r="Z23" i="2" s="1"/>
  <c r="AF22" i="2"/>
  <c r="AA22" i="2" s="1"/>
  <c r="AF21" i="2"/>
  <c r="AA21" i="2" s="1"/>
  <c r="AF20" i="2"/>
  <c r="AC20" i="2" s="1"/>
  <c r="AF19" i="2"/>
  <c r="AC19" i="2" s="1"/>
  <c r="AF18" i="2"/>
  <c r="AA18" i="2"/>
  <c r="AF17" i="2"/>
  <c r="AF16" i="2"/>
  <c r="Z16" i="2" s="1"/>
  <c r="AF15" i="2"/>
  <c r="AB15" i="2" s="1"/>
  <c r="AF14" i="2"/>
  <c r="AD14" i="2" s="1"/>
  <c r="AF13" i="2"/>
  <c r="AC13" i="2"/>
  <c r="AB13" i="2"/>
  <c r="AF12" i="2"/>
  <c r="AD12" i="2" s="1"/>
  <c r="AF11" i="2"/>
  <c r="AC11" i="2" s="1"/>
  <c r="AD11" i="2"/>
  <c r="AB11" i="2"/>
  <c r="Z11" i="2"/>
  <c r="AF10" i="2"/>
  <c r="AF9" i="2"/>
  <c r="AA9" i="2" s="1"/>
  <c r="AF8" i="2"/>
  <c r="AB8" i="2"/>
  <c r="AF7" i="2"/>
  <c r="AF6" i="2"/>
  <c r="AA6" i="2" s="1"/>
  <c r="AF5" i="2"/>
  <c r="Z5" i="2"/>
  <c r="AF4" i="2"/>
  <c r="AD4" i="2" s="1"/>
  <c r="AC4" i="2"/>
  <c r="AF3" i="2"/>
  <c r="AC3" i="2" s="1"/>
  <c r="AF2" i="2"/>
  <c r="AC2" i="2" s="1"/>
  <c r="Z61" i="3" l="1"/>
  <c r="AD23" i="3"/>
  <c r="Z32" i="3"/>
  <c r="AB55" i="3"/>
  <c r="AA62" i="3"/>
  <c r="AB30" i="3"/>
  <c r="Z38" i="3"/>
  <c r="AD7" i="3"/>
  <c r="AB32" i="3"/>
  <c r="AD16" i="3"/>
  <c r="AD32" i="3"/>
  <c r="AD48" i="3"/>
  <c r="AD55" i="3"/>
  <c r="AA6" i="3"/>
  <c r="Z17" i="3"/>
  <c r="AB33" i="3"/>
  <c r="AB42" i="3"/>
  <c r="AA49" i="3"/>
  <c r="AA56" i="3"/>
  <c r="AB49" i="3"/>
  <c r="AC3" i="3"/>
  <c r="AC49" i="3"/>
  <c r="AC56" i="3"/>
  <c r="Z3" i="3"/>
  <c r="AD3" i="3"/>
  <c r="AC35" i="3"/>
  <c r="AD44" i="3"/>
  <c r="AD49" i="3"/>
  <c r="AE49" i="3"/>
  <c r="AC14" i="3"/>
  <c r="Z45" i="3"/>
  <c r="AE45" i="3" s="1"/>
  <c r="AD13" i="3"/>
  <c r="Z21" i="3"/>
  <c r="AA45" i="3"/>
  <c r="Z51" i="3"/>
  <c r="AB58" i="3"/>
  <c r="Z6" i="3"/>
  <c r="AB45" i="3"/>
  <c r="AB19" i="2"/>
  <c r="AA29" i="2"/>
  <c r="AD6" i="2"/>
  <c r="AD19" i="2"/>
  <c r="Z34" i="2"/>
  <c r="Z54" i="2"/>
  <c r="AA61" i="2"/>
  <c r="AD67" i="2"/>
  <c r="AA14" i="2"/>
  <c r="AB14" i="2"/>
  <c r="Z35" i="2"/>
  <c r="Z30" i="2"/>
  <c r="AE30" i="2" s="1"/>
  <c r="AA35" i="2"/>
  <c r="AC9" i="2"/>
  <c r="AA23" i="2"/>
  <c r="Z14" i="2"/>
  <c r="AE14" i="2" s="1"/>
  <c r="AC14" i="2"/>
  <c r="AB9" i="2"/>
  <c r="AA30" i="2"/>
  <c r="AB35" i="2"/>
  <c r="AD41" i="2"/>
  <c r="Z63" i="2"/>
  <c r="Z71" i="2"/>
  <c r="AB48" i="2"/>
  <c r="AA16" i="2"/>
  <c r="Z37" i="2"/>
  <c r="AB16" i="2"/>
  <c r="Z44" i="2"/>
  <c r="AD57" i="2"/>
  <c r="AA64" i="2"/>
  <c r="AD64" i="2"/>
  <c r="AB52" i="2"/>
  <c r="AE32" i="2"/>
  <c r="AA28" i="2"/>
  <c r="AA19" i="2"/>
  <c r="AA60" i="2"/>
  <c r="Z67" i="2"/>
  <c r="AB67" i="2"/>
  <c r="AD47" i="2"/>
  <c r="AA51" i="2"/>
  <c r="AB55" i="2"/>
  <c r="AA67" i="2"/>
  <c r="AE67" i="2" s="1"/>
  <c r="AA71" i="2"/>
  <c r="Z7" i="2"/>
  <c r="AC16" i="2"/>
  <c r="AA7" i="2"/>
  <c r="AD16" i="2"/>
  <c r="AB23" i="2"/>
  <c r="AA27" i="2"/>
  <c r="AB51" i="2"/>
  <c r="AC55" i="2"/>
  <c r="Z60" i="2"/>
  <c r="AB71" i="2"/>
  <c r="Z20" i="2"/>
  <c r="AC23" i="2"/>
  <c r="AD51" i="2"/>
  <c r="AD55" i="2"/>
  <c r="AC38" i="2"/>
  <c r="AE38" i="2" s="1"/>
  <c r="AC41" i="2"/>
  <c r="AE41" i="2" s="1"/>
  <c r="AA48" i="2"/>
  <c r="AE51" i="2"/>
  <c r="AD71" i="2"/>
  <c r="AD9" i="2"/>
  <c r="AA20" i="2"/>
  <c r="AD23" i="2"/>
  <c r="AD7" i="2"/>
  <c r="AA11" i="2"/>
  <c r="AB17" i="2"/>
  <c r="AB20" i="2"/>
  <c r="AC31" i="2"/>
  <c r="Z3" i="2"/>
  <c r="Z27" i="2"/>
  <c r="AB7" i="2"/>
  <c r="AC7" i="2"/>
  <c r="AD48" i="2"/>
  <c r="AD56" i="2"/>
  <c r="AB61" i="2"/>
  <c r="AB64" i="2"/>
  <c r="AE64" i="2" s="1"/>
  <c r="Z69" i="2"/>
  <c r="AA3" i="2"/>
  <c r="AB3" i="2"/>
  <c r="AA24" i="2"/>
  <c r="AA8" i="2"/>
  <c r="AE11" i="2"/>
  <c r="Z18" i="2"/>
  <c r="Z21" i="2"/>
  <c r="AD35" i="2"/>
  <c r="Z39" i="2"/>
  <c r="Z46" i="2"/>
  <c r="AE46" i="2" s="1"/>
  <c r="AC64" i="2"/>
  <c r="AD13" i="2"/>
  <c r="AA39" i="2"/>
  <c r="AD3" i="2"/>
  <c r="AD18" i="2"/>
  <c r="AB39" i="2"/>
  <c r="Z43" i="2"/>
  <c r="AB46" i="2"/>
  <c r="AB54" i="2"/>
  <c r="Z70" i="2"/>
  <c r="AD2" i="2"/>
  <c r="B15" i="1"/>
  <c r="AD8" i="2"/>
  <c r="Z12" i="2"/>
  <c r="AA15" i="2"/>
  <c r="Z22" i="2"/>
  <c r="Z25" i="2"/>
  <c r="Z2" i="2"/>
  <c r="AE2" i="2" s="1"/>
  <c r="Z6" i="2"/>
  <c r="AE6" i="2" s="1"/>
  <c r="AE12" i="2"/>
  <c r="AC15" i="2"/>
  <c r="AB22" i="2"/>
  <c r="AB25" i="2"/>
  <c r="AA36" i="2"/>
  <c r="AC39" i="2"/>
  <c r="AA43" i="2"/>
  <c r="AC46" i="2"/>
  <c r="AC54" i="2"/>
  <c r="Z62" i="2"/>
  <c r="AB70" i="2"/>
  <c r="AE70" i="2" s="1"/>
  <c r="B14" i="1"/>
  <c r="AA2" i="2"/>
  <c r="AB6" i="2"/>
  <c r="AC22" i="2"/>
  <c r="AC25" i="2"/>
  <c r="AB36" i="2"/>
  <c r="AD39" i="2"/>
  <c r="AB43" i="2"/>
  <c r="AD46" i="2"/>
  <c r="Z50" i="2"/>
  <c r="AD54" i="2"/>
  <c r="AA62" i="2"/>
  <c r="AC70" i="2"/>
  <c r="Z15" i="2"/>
  <c r="AD15" i="2"/>
  <c r="AC6" i="2"/>
  <c r="Z9" i="2"/>
  <c r="AE9" i="2" s="1"/>
  <c r="AA13" i="2"/>
  <c r="Z19" i="2"/>
  <c r="AE19" i="2" s="1"/>
  <c r="AD22" i="2"/>
  <c r="AD25" i="2"/>
  <c r="AE29" i="2"/>
  <c r="AA50" i="2"/>
  <c r="AB62" i="2"/>
  <c r="Z66" i="2"/>
  <c r="AD70" i="2"/>
  <c r="AD50" i="2"/>
  <c r="AA66" i="2"/>
  <c r="AC24" i="3"/>
  <c r="AE24" i="3" s="1"/>
  <c r="AC32" i="3"/>
  <c r="AE32" i="3" s="1"/>
  <c r="AA40" i="3"/>
  <c r="AD56" i="3"/>
  <c r="AE56" i="3" s="1"/>
  <c r="AA61" i="3"/>
  <c r="AE61" i="3" s="1"/>
  <c r="Z65" i="3"/>
  <c r="AD61" i="3"/>
  <c r="AA65" i="3"/>
  <c r="AB13" i="3"/>
  <c r="AA17" i="3"/>
  <c r="Z29" i="3"/>
  <c r="AC40" i="3"/>
  <c r="AB65" i="3"/>
  <c r="Z69" i="3"/>
  <c r="C13" i="1"/>
  <c r="AA2" i="3"/>
  <c r="AA7" i="3"/>
  <c r="Z37" i="3"/>
  <c r="AE37" i="3" s="1"/>
  <c r="AD40" i="3"/>
  <c r="Z54" i="3"/>
  <c r="AC65" i="3"/>
  <c r="AA69" i="3"/>
  <c r="AC10" i="3"/>
  <c r="AB17" i="3"/>
  <c r="AA29" i="3"/>
  <c r="AD2" i="3"/>
  <c r="AB7" i="3"/>
  <c r="AA10" i="3"/>
  <c r="AE10" i="3" s="1"/>
  <c r="AE13" i="3"/>
  <c r="AC17" i="3"/>
  <c r="Z22" i="3"/>
  <c r="AC25" i="3"/>
  <c r="AB29" i="3"/>
  <c r="Z33" i="3"/>
  <c r="AA54" i="3"/>
  <c r="Z62" i="3"/>
  <c r="AB69" i="3"/>
  <c r="C14" i="1"/>
  <c r="AB10" i="3"/>
  <c r="AA22" i="3"/>
  <c r="AD29" i="3"/>
  <c r="AA33" i="3"/>
  <c r="AA58" i="3"/>
  <c r="Z70" i="3"/>
  <c r="AD10" i="3"/>
  <c r="AC33" i="3"/>
  <c r="AA38" i="3"/>
  <c r="AC58" i="3"/>
  <c r="AA66" i="3"/>
  <c r="AA70" i="3"/>
  <c r="Z8" i="3"/>
  <c r="AA26" i="3"/>
  <c r="AE26" i="3" s="1"/>
  <c r="Z30" i="3"/>
  <c r="AE30" i="3" s="1"/>
  <c r="AA42" i="3"/>
  <c r="Z46" i="3"/>
  <c r="AD58" i="3"/>
  <c r="AD66" i="3"/>
  <c r="AB8" i="3"/>
  <c r="Z19" i="3"/>
  <c r="AC26" i="3"/>
  <c r="AA71" i="3"/>
  <c r="AA39" i="3"/>
  <c r="AC42" i="3"/>
  <c r="AC8" i="3"/>
  <c r="AD26" i="3"/>
  <c r="Z31" i="3"/>
  <c r="AE31" i="3" s="1"/>
  <c r="AB39" i="3"/>
  <c r="AD42" i="3"/>
  <c r="Z48" i="3"/>
  <c r="AC51" i="3"/>
  <c r="AB59" i="3"/>
  <c r="AB64" i="3"/>
  <c r="Z67" i="3"/>
  <c r="AB71" i="3"/>
  <c r="AA8" i="3"/>
  <c r="Z64" i="3"/>
  <c r="Z16" i="3"/>
  <c r="AC19" i="3"/>
  <c r="AD8" i="3"/>
  <c r="AA12" i="3"/>
  <c r="AB16" i="3"/>
  <c r="AD19" i="3"/>
  <c r="AE19" i="3" s="1"/>
  <c r="AE23" i="3"/>
  <c r="Z35" i="3"/>
  <c r="AE35" i="3" s="1"/>
  <c r="AC39" i="3"/>
  <c r="AB48" i="3"/>
  <c r="AD51" i="3"/>
  <c r="AC64" i="3"/>
  <c r="AC67" i="3"/>
  <c r="AC71" i="3"/>
  <c r="AD12" i="3"/>
  <c r="AD64" i="3"/>
  <c r="AD67" i="3"/>
  <c r="AB27" i="3"/>
  <c r="AD15" i="3"/>
  <c r="AC15" i="3"/>
  <c r="AB15" i="3"/>
  <c r="AC28" i="3"/>
  <c r="AB28" i="3"/>
  <c r="AB41" i="3"/>
  <c r="AA41" i="3"/>
  <c r="AC18" i="3"/>
  <c r="AB18" i="3"/>
  <c r="Z18" i="3"/>
  <c r="AD68" i="3"/>
  <c r="AB68" i="3"/>
  <c r="AA68" i="3"/>
  <c r="Z68" i="3"/>
  <c r="AD65" i="2"/>
  <c r="AC65" i="2"/>
  <c r="AA65" i="2"/>
  <c r="Z65" i="2"/>
  <c r="AE65" i="2" s="1"/>
  <c r="AD36" i="2"/>
  <c r="Z53" i="2"/>
  <c r="AD66" i="2"/>
  <c r="AD69" i="2"/>
  <c r="AC69" i="2"/>
  <c r="AB69" i="2"/>
  <c r="AC12" i="3"/>
  <c r="AB12" i="3"/>
  <c r="AB25" i="3"/>
  <c r="AA25" i="3"/>
  <c r="AD52" i="2"/>
  <c r="AD17" i="2"/>
  <c r="AC17" i="2"/>
  <c r="AA17" i="2"/>
  <c r="Z17" i="2"/>
  <c r="AD20" i="2"/>
  <c r="AD43" i="2"/>
  <c r="AC43" i="2"/>
  <c r="AC2" i="3"/>
  <c r="AB2" i="3"/>
  <c r="Z2" i="3"/>
  <c r="C15" i="1"/>
  <c r="AD5" i="2"/>
  <c r="AC5" i="2"/>
  <c r="AB5" i="2"/>
  <c r="AB53" i="2"/>
  <c r="AD53" i="2"/>
  <c r="AC53" i="2"/>
  <c r="AC66" i="2"/>
  <c r="AB66" i="2"/>
  <c r="AB9" i="3"/>
  <c r="AA9" i="3"/>
  <c r="AE9" i="3" s="1"/>
  <c r="AD52" i="3"/>
  <c r="AB52" i="3"/>
  <c r="AA52" i="3"/>
  <c r="Z52" i="3"/>
  <c r="Z31" i="2"/>
  <c r="AD37" i="2"/>
  <c r="AC37" i="2"/>
  <c r="AB37" i="2"/>
  <c r="AC56" i="2"/>
  <c r="AB56" i="2"/>
  <c r="Z56" i="2"/>
  <c r="AB10" i="2"/>
  <c r="AA10" i="2"/>
  <c r="Z10" i="2"/>
  <c r="AD5" i="3"/>
  <c r="AC5" i="3"/>
  <c r="AC34" i="3"/>
  <c r="AB34" i="3"/>
  <c r="Z34" i="3"/>
  <c r="AD27" i="2"/>
  <c r="AC27" i="2"/>
  <c r="AC50" i="2"/>
  <c r="AB50" i="2"/>
  <c r="AB63" i="2"/>
  <c r="AA63" i="2"/>
  <c r="AE63" i="2" s="1"/>
  <c r="AD36" i="3"/>
  <c r="AB36" i="3"/>
  <c r="AA36" i="3"/>
  <c r="Z36" i="3"/>
  <c r="AE36" i="3" s="1"/>
  <c r="AA46" i="3"/>
  <c r="AA53" i="3"/>
  <c r="AE62" i="3"/>
  <c r="AD62" i="3"/>
  <c r="AD26" i="2"/>
  <c r="AB26" i="2"/>
  <c r="AA26" i="2"/>
  <c r="Z26" i="2"/>
  <c r="AC24" i="2"/>
  <c r="AB24" i="2"/>
  <c r="Z24" i="2"/>
  <c r="AE24" i="2" s="1"/>
  <c r="AC34" i="2"/>
  <c r="AB34" i="2"/>
  <c r="AE34" i="2" s="1"/>
  <c r="AB43" i="3"/>
  <c r="AB46" i="3"/>
  <c r="AB53" i="3"/>
  <c r="AD59" i="3"/>
  <c r="AC59" i="3"/>
  <c r="AA59" i="3"/>
  <c r="Z59" i="3"/>
  <c r="Z63" i="3"/>
  <c r="AE63" i="3" s="1"/>
  <c r="AD49" i="2"/>
  <c r="AC49" i="2"/>
  <c r="AA49" i="2"/>
  <c r="Z49" i="2"/>
  <c r="AD33" i="2"/>
  <c r="AC33" i="2"/>
  <c r="AA33" i="2"/>
  <c r="Z33" i="2"/>
  <c r="AC8" i="2"/>
  <c r="Z8" i="2"/>
  <c r="AE8" i="2" s="1"/>
  <c r="AC18" i="2"/>
  <c r="AB18" i="2"/>
  <c r="AB47" i="2"/>
  <c r="AA47" i="2"/>
  <c r="AE47" i="2" s="1"/>
  <c r="AD20" i="3"/>
  <c r="AB20" i="3"/>
  <c r="AA20" i="3"/>
  <c r="Z20" i="3"/>
  <c r="AA30" i="3"/>
  <c r="AA37" i="3"/>
  <c r="Z60" i="3"/>
  <c r="AD68" i="2"/>
  <c r="AD21" i="2"/>
  <c r="AB21" i="2"/>
  <c r="AC21" i="2"/>
  <c r="AC40" i="2"/>
  <c r="AB40" i="2"/>
  <c r="Z40" i="2"/>
  <c r="AE40" i="2" s="1"/>
  <c r="AD43" i="3"/>
  <c r="AC43" i="3"/>
  <c r="AA43" i="3"/>
  <c r="Z43" i="3"/>
  <c r="AD46" i="3"/>
  <c r="AD53" i="3"/>
  <c r="AC53" i="3"/>
  <c r="AA60" i="3"/>
  <c r="AD63" i="3"/>
  <c r="AB63" i="3"/>
  <c r="AC63" i="3"/>
  <c r="AA5" i="2"/>
  <c r="AB2" i="2"/>
  <c r="B13" i="1"/>
  <c r="AB31" i="2"/>
  <c r="AA31" i="2"/>
  <c r="AD4" i="3"/>
  <c r="AB4" i="3"/>
  <c r="AA4" i="3"/>
  <c r="Z4" i="3"/>
  <c r="AE4" i="3" s="1"/>
  <c r="AA14" i="3"/>
  <c r="AA21" i="3"/>
  <c r="Z44" i="3"/>
  <c r="Z47" i="3"/>
  <c r="AA50" i="3"/>
  <c r="Z57" i="3"/>
  <c r="AD60" i="3"/>
  <c r="AC66" i="3"/>
  <c r="AB66" i="3"/>
  <c r="Z66" i="3"/>
  <c r="AD59" i="2"/>
  <c r="AC59" i="2"/>
  <c r="Z68" i="2"/>
  <c r="AE68" i="2" s="1"/>
  <c r="Z5" i="3"/>
  <c r="AE5" i="3" s="1"/>
  <c r="AD27" i="3"/>
  <c r="AC27" i="3"/>
  <c r="AA27" i="3"/>
  <c r="Z27" i="3"/>
  <c r="AD30" i="3"/>
  <c r="AD37" i="3"/>
  <c r="AC37" i="3"/>
  <c r="AC57" i="3"/>
  <c r="AD58" i="2"/>
  <c r="AB58" i="2"/>
  <c r="AA58" i="2"/>
  <c r="Z58" i="2"/>
  <c r="AE58" i="2" s="1"/>
  <c r="AA68" i="2"/>
  <c r="AA5" i="3"/>
  <c r="Z28" i="3"/>
  <c r="AA34" i="3"/>
  <c r="Z41" i="3"/>
  <c r="AD47" i="3"/>
  <c r="AB47" i="3"/>
  <c r="AC47" i="3"/>
  <c r="AC60" i="3"/>
  <c r="AB60" i="3"/>
  <c r="Z4" i="2"/>
  <c r="AA4" i="2"/>
  <c r="AC10" i="2"/>
  <c r="Z52" i="2"/>
  <c r="Z59" i="2"/>
  <c r="AB65" i="2"/>
  <c r="AB68" i="2"/>
  <c r="AB5" i="3"/>
  <c r="AD11" i="3"/>
  <c r="AC11" i="3"/>
  <c r="AA11" i="3"/>
  <c r="Z11" i="3"/>
  <c r="AD14" i="3"/>
  <c r="AD21" i="3"/>
  <c r="AC21" i="3"/>
  <c r="AE21" i="3" s="1"/>
  <c r="AA28" i="3"/>
  <c r="AD34" i="3"/>
  <c r="AC41" i="3"/>
  <c r="AC50" i="3"/>
  <c r="AB50" i="3"/>
  <c r="Z50" i="3"/>
  <c r="AE50" i="3" s="1"/>
  <c r="AB4" i="2"/>
  <c r="AD10" i="2"/>
  <c r="AC26" i="2"/>
  <c r="Z36" i="2"/>
  <c r="AE36" i="2" s="1"/>
  <c r="AD42" i="2"/>
  <c r="AB42" i="2"/>
  <c r="AA42" i="2"/>
  <c r="Z42" i="2"/>
  <c r="AE42" i="2" s="1"/>
  <c r="AA52" i="2"/>
  <c r="AA59" i="2"/>
  <c r="AC68" i="2"/>
  <c r="Z12" i="3"/>
  <c r="Z15" i="3"/>
  <c r="AA18" i="3"/>
  <c r="Z25" i="3"/>
  <c r="AD28" i="3"/>
  <c r="AD31" i="3"/>
  <c r="AC31" i="3"/>
  <c r="AB31" i="3"/>
  <c r="AD41" i="3"/>
  <c r="AC44" i="3"/>
  <c r="AB44" i="3"/>
  <c r="AB57" i="3"/>
  <c r="AA57" i="3"/>
  <c r="AB12" i="2"/>
  <c r="AB44" i="2"/>
  <c r="AB60" i="2"/>
  <c r="AB6" i="3"/>
  <c r="AB22" i="3"/>
  <c r="AB38" i="3"/>
  <c r="AB54" i="3"/>
  <c r="AB70" i="3"/>
  <c r="AA12" i="2"/>
  <c r="AC44" i="2"/>
  <c r="AC60" i="2"/>
  <c r="AC6" i="3"/>
  <c r="AC22" i="3"/>
  <c r="AC38" i="3"/>
  <c r="AE38" i="3" s="1"/>
  <c r="AC54" i="3"/>
  <c r="AE54" i="3" s="1"/>
  <c r="AB61" i="3"/>
  <c r="AC70" i="3"/>
  <c r="AB28" i="2"/>
  <c r="AC12" i="2"/>
  <c r="AC28" i="2"/>
  <c r="Z13" i="2"/>
  <c r="Z29" i="2"/>
  <c r="Z45" i="2"/>
  <c r="AE45" i="2" s="1"/>
  <c r="Z61" i="2"/>
  <c r="AE61" i="2" s="1"/>
  <c r="Z7" i="3"/>
  <c r="Z23" i="3"/>
  <c r="Z39" i="3"/>
  <c r="AE39" i="3" s="1"/>
  <c r="Z55" i="3"/>
  <c r="AE55" i="3" s="1"/>
  <c r="Z71" i="3"/>
  <c r="AE71" i="3" s="1"/>
  <c r="AA57" i="2"/>
  <c r="AE57" i="2" s="1"/>
  <c r="AA3" i="3"/>
  <c r="AE3" i="3" s="1"/>
  <c r="AA19" i="3"/>
  <c r="AA35" i="3"/>
  <c r="AA51" i="3"/>
  <c r="AA67" i="3"/>
  <c r="AC69" i="3"/>
  <c r="AE59" i="3" l="1"/>
  <c r="AE52" i="3"/>
  <c r="AE8" i="3"/>
  <c r="AE40" i="3"/>
  <c r="E24" i="1"/>
  <c r="AE34" i="3"/>
  <c r="AE43" i="3"/>
  <c r="AE69" i="3"/>
  <c r="AE22" i="3"/>
  <c r="AE64" i="3"/>
  <c r="AE70" i="3"/>
  <c r="AE28" i="3"/>
  <c r="AE68" i="3"/>
  <c r="AE18" i="3"/>
  <c r="AE27" i="3"/>
  <c r="AE15" i="3"/>
  <c r="AE57" i="3"/>
  <c r="AE6" i="3"/>
  <c r="AE12" i="3"/>
  <c r="AE67" i="3"/>
  <c r="AE60" i="3"/>
  <c r="AE46" i="3"/>
  <c r="AE66" i="3"/>
  <c r="AE25" i="3"/>
  <c r="AE53" i="3"/>
  <c r="AE47" i="3"/>
  <c r="AE20" i="3"/>
  <c r="AE2" i="3"/>
  <c r="D25" i="1" s="1"/>
  <c r="AE51" i="3"/>
  <c r="AE42" i="3"/>
  <c r="AE7" i="3"/>
  <c r="AE14" i="3"/>
  <c r="AE48" i="3"/>
  <c r="AE25" i="2"/>
  <c r="AE48" i="2"/>
  <c r="AE7" i="2"/>
  <c r="AE22" i="2"/>
  <c r="AE71" i="2"/>
  <c r="AE16" i="2"/>
  <c r="AE10" i="2"/>
  <c r="AE39" i="2"/>
  <c r="AE27" i="2"/>
  <c r="AE55" i="2"/>
  <c r="AE35" i="2"/>
  <c r="AE21" i="2"/>
  <c r="AE3" i="2"/>
  <c r="AE18" i="2"/>
  <c r="AE20" i="2"/>
  <c r="AE52" i="2"/>
  <c r="B25" i="1" s="1"/>
  <c r="AE56" i="2"/>
  <c r="AE66" i="2"/>
  <c r="AE5" i="2"/>
  <c r="AE60" i="2"/>
  <c r="AE33" i="2"/>
  <c r="AE50" i="2"/>
  <c r="AE54" i="2"/>
  <c r="AE17" i="2"/>
  <c r="AE13" i="2"/>
  <c r="AE4" i="2"/>
  <c r="AE53" i="2"/>
  <c r="AE28" i="2"/>
  <c r="AE44" i="2"/>
  <c r="AE49" i="2"/>
  <c r="AE43" i="2"/>
  <c r="AE59" i="2"/>
  <c r="AE37" i="2"/>
  <c r="AE26" i="2"/>
  <c r="AE31" i="2"/>
  <c r="AE15" i="2"/>
  <c r="AE69" i="2"/>
  <c r="AE23" i="2"/>
  <c r="AE62" i="2"/>
  <c r="AE58" i="3"/>
  <c r="D23" i="1"/>
  <c r="D21" i="1"/>
  <c r="AE29" i="3"/>
  <c r="AE17" i="3"/>
  <c r="D24" i="1"/>
  <c r="E20" i="1"/>
  <c r="AE16" i="3"/>
  <c r="D22" i="1"/>
  <c r="AE11" i="3"/>
  <c r="AE33" i="3"/>
  <c r="E21" i="1"/>
  <c r="E23" i="1"/>
  <c r="AE44" i="3"/>
  <c r="AE65" i="3"/>
  <c r="D20" i="1"/>
  <c r="AE41" i="3"/>
  <c r="E22" i="1"/>
  <c r="C21" i="1"/>
  <c r="C20" i="1"/>
  <c r="B24" i="1"/>
  <c r="C24" i="1"/>
  <c r="B20" i="1"/>
  <c r="C23" i="1"/>
  <c r="C22" i="1"/>
  <c r="B23" i="1"/>
  <c r="B22" i="1"/>
  <c r="B21" i="1"/>
  <c r="E25" i="1" l="1"/>
  <c r="C25" i="1"/>
</calcChain>
</file>

<file path=xl/sharedStrings.xml><?xml version="1.0" encoding="utf-8"?>
<sst xmlns="http://schemas.openxmlformats.org/spreadsheetml/2006/main" count="952" uniqueCount="253">
  <si>
    <t>Manual and Proposed System | Survey Entry</t>
  </si>
  <si>
    <t>Purpose: preserve each respondent's answers for an independent-samples comparison. Manual and system papers are separate groups.</t>
  </si>
  <si>
    <t>1. Count the papers. This template has 70 slots for each group; report any different actual count.</t>
  </si>
  <si>
    <t>2. Label manual papers M01-M70 and system student papers S01-S70. No matching between groups is needed.</t>
  </si>
  <si>
    <t>3. Enter each paper in its matching row on Manual or System. Use its original 1-4 response codes; enter only yellow cells.</t>
  </si>
  <si>
    <t>4. Check the section and question number using the key below each entry sheet. Do not replace an individual answer with an average.</t>
  </si>
  <si>
    <t>5. Have a second teammate check every entry against the paper, then enter their initials in Checked by.</t>
  </si>
  <si>
    <t>6. Resolve CHECK PAPER rows using the original paper. Keep genuinely missing answers blank and report them.</t>
  </si>
  <si>
    <t>Data readiness</t>
  </si>
  <si>
    <t>Manual</t>
  </si>
  <si>
    <t>System</t>
  </si>
  <si>
    <t>Expected per group</t>
  </si>
  <si>
    <t>Complete forms</t>
  </si>
  <si>
    <t>Rows needing a check</t>
  </si>
  <si>
    <t>Not entered</t>
  </si>
  <si>
    <t>The scores below appear only when all 70 forms in that group have valid answers. They are descriptive results, not the t-test.</t>
  </si>
  <si>
    <t>Score</t>
  </si>
  <si>
    <t>Manual mean</t>
  </si>
  <si>
    <t>Manual sample SD</t>
  </si>
  <si>
    <t>System mean</t>
  </si>
  <si>
    <t>System sample SD</t>
  </si>
  <si>
    <t>Functional Suitability</t>
  </si>
  <si>
    <t>Performance Efficiency</t>
  </si>
  <si>
    <t>Usability</t>
  </si>
  <si>
    <t>Reliability</t>
  </si>
  <si>
    <t>Security</t>
  </si>
  <si>
    <t>Overall score</t>
  </si>
  <si>
    <t>Scoring: average each category's answers, then average the five category scores equally. Performance Efficiency has 4 items; each other category has 5.</t>
  </si>
  <si>
    <t>Next analysis: a two-sided Welch independent-samples t-test on each person's overall score, after checking data entry, scoring direction, and comparable survey content.</t>
  </si>
  <si>
    <t>Do not combine security-personnel or administrator forms with the student comparison. Keep those forms separate.</t>
  </si>
  <si>
    <t>This file does not test processing-time differences. Manual writing times and automated component timers do not measure the same complete task.</t>
  </si>
  <si>
    <t>Source for questionnaire order and wording: C:/Users/justine mendoza/Documents/METRICS first batch/UnStudent Weighted Mean - Students (1).pdf</t>
  </si>
  <si>
    <t>Paper ID</t>
  </si>
  <si>
    <t>FS1</t>
  </si>
  <si>
    <t>FS2</t>
  </si>
  <si>
    <t>FS3</t>
  </si>
  <si>
    <t>FS4</t>
  </si>
  <si>
    <t>FS5</t>
  </si>
  <si>
    <t>PE1</t>
  </si>
  <si>
    <t>PE2</t>
  </si>
  <si>
    <t>PE3</t>
  </si>
  <si>
    <t>PE4</t>
  </si>
  <si>
    <t>US1</t>
  </si>
  <si>
    <t>US2</t>
  </si>
  <si>
    <t>US3</t>
  </si>
  <si>
    <t>US4</t>
  </si>
  <si>
    <t>US5</t>
  </si>
  <si>
    <t>RE1</t>
  </si>
  <si>
    <t>RE2</t>
  </si>
  <si>
    <t>RE3</t>
  </si>
  <si>
    <t>RE4</t>
  </si>
  <si>
    <t>RE5</t>
  </si>
  <si>
    <t>SE1</t>
  </si>
  <si>
    <t>SE2</t>
  </si>
  <si>
    <t>SE3</t>
  </si>
  <si>
    <t>SE4</t>
  </si>
  <si>
    <t>SE5</t>
  </si>
  <si>
    <t>Entry status</t>
  </si>
  <si>
    <t>Checked by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</si>
  <si>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</si>
  <si>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</si>
  <si>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</si>
  <si>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</si>
  <si>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</si>
  <si>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</si>
  <si>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</si>
  <si>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</si>
  <si>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</si>
  <si>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</si>
  <si>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</si>
  <si>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</si>
  <si>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</si>
  <si>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</si>
  <si>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</si>
  <si>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</si>
  <si>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</si>
  <si>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</si>
  <si>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</si>
  <si>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</si>
  <si>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</si>
  <si>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</si>
  <si>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</si>
  <si>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</si>
  <si>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</si>
  <si>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</si>
  <si>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</si>
  <si>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</si>
  <si>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</si>
  <si>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</si>
  <si>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</si>
  <si>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</si>
  <si>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</si>
  <si>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</si>
  <si>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</si>
  <si>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</si>
  <si>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</si>
  <si>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</si>
  <si>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</si>
  <si>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</si>
  <si>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</si>
  <si>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</si>
  <si>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</si>
  <si>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</si>
  <si>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</si>
  <si>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</si>
  <si>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</si>
  <si>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</si>
  <si>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</si>
  <si>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</si>
  <si>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</si>
  <si>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</si>
  <si>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</si>
  <si>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</si>
  <si>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</si>
  <si>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</si>
  <si>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</si>
  <si>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</si>
  <si>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</si>
  <si>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</si>
  <si>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</si>
  <si>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</si>
  <si>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</si>
  <si>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</si>
  <si>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</si>
  <si>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</si>
  <si>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</si>
  <si>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</si>
  <si>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</si>
  <si>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</si>
  <si>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Manual: enter one paper per row. Yellow answer cells accept whole numbers 1-4 only. Do not enter names or student IDs.</t>
  </si>
  <si>
    <t>Use the question key below to match section and item numbers. Leave missing or unclear answers blank; do not guess.</t>
  </si>
  <si>
    <t>Item code</t>
  </si>
  <si>
    <t>Question wording in the supplied tally</t>
  </si>
  <si>
    <t>The manual process provides a clear way to verify my identity when attending a university event.</t>
  </si>
  <si>
    <t>The manual process accurately and completely records my entry information.</t>
  </si>
  <si>
    <t>The paper-based attendance procedures are relevant to monitoring student attendance.</t>
  </si>
  <si>
    <t>The manual process provides clear confirmation that my attendance has been recorded (e.g., staff confirmation or completed sign-in).</t>
  </si>
  <si>
    <t>Overall, the manual process meets the basic requirements for recording event attendance.</t>
  </si>
  <si>
    <t>The manual process is completed quickly when I sign the attendance sheet.</t>
  </si>
  <si>
    <t>The manual process remains manageable even when there is a long line of students.</t>
  </si>
  <si>
    <t>The manual process maintains a consistent processing speed throughout the attendance procedure.</t>
  </si>
  <si>
    <t>The overall speed of the manual process meets my expectations for event attendance.</t>
  </si>
  <si>
    <t>The steps for paper sign-in are easy to understand and follow.</t>
  </si>
  <si>
    <t>The instructions provided by the event staff clearly explain what I need to do.</t>
  </si>
  <si>
    <t>The arrangement of the sign-in sheet, identification-checking procedure, and related materials makes the process easy to use.</t>
  </si>
  <si>
    <t>I can complete the paper sign-in process with minimal or no assistance.</t>
  </si>
  <si>
    <t>The manual process is straightforward enough to be used by students with different levels of familiarity with the procedure.</t>
  </si>
  <si>
    <t>My attendance is recorded consistently without being missed, duplicated, or improperly recorded.</t>
  </si>
  <si>
    <t>If an error occurs in the written information or identity check, it can be corrected before the record is finalized.</t>
  </si>
  <si>
    <t>I trust that the paper attendance sheet or manual record accurately reflects my attendance.</t>
  </si>
  <si>
    <t>The manual process can still be completed under different physical conditions, such as crowded queues or limited writing space.</t>
  </si>
  <si>
    <t>The manual verification and attendance process remains stable from the beginning to the end of the procedure.</t>
  </si>
  <si>
    <t>The manual process limits unnecessary exposure of my personal information on attendance sheets.</t>
  </si>
  <si>
    <t>Manual identity checking provides enough information to verify that the person presenting the identification is the rightful student.</t>
  </si>
  <si>
    <t>I feel confident that my student and attendance information is handled securely during the manual process.</t>
  </si>
  <si>
    <t>The manual process includes measures that help prevent common problems such as proxy attendance, or unauthorized signing.</t>
  </si>
  <si>
    <t>The attendance process adequately protects the confidentiality and security of event attendance information.</t>
  </si>
  <si>
    <t>Question key source: C:/Users/justine mendoza/Documents/METRICS first batch/UnStudent Weighted Mean - Students (1).pdf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</si>
  <si>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</si>
  <si>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</si>
  <si>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</si>
  <si>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</si>
  <si>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</si>
  <si>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</si>
  <si>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</si>
  <si>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</si>
  <si>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</si>
  <si>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</si>
  <si>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</si>
  <si>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</si>
  <si>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</si>
  <si>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</si>
  <si>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</si>
  <si>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</si>
  <si>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</si>
  <si>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</si>
  <si>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</si>
  <si>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</si>
  <si>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</si>
  <si>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</si>
  <si>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</si>
  <si>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</si>
  <si>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</si>
  <si>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</si>
  <si>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</si>
  <si>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</si>
  <si>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</si>
  <si>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</si>
  <si>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</si>
  <si>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</si>
  <si>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</si>
  <si>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</si>
  <si>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</si>
  <si>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</si>
  <si>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</si>
  <si>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</si>
  <si>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</si>
  <si>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</si>
  <si>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</si>
  <si>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</si>
  <si>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</si>
  <si>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</si>
  <si>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</si>
  <si>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</si>
  <si>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</si>
  <si>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</si>
  <si>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</si>
  <si>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</si>
  <si>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</si>
  <si>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</si>
  <si>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</si>
  <si>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</si>
  <si>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</si>
  <si>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</si>
  <si>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</si>
  <si>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</si>
  <si>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</si>
  <si>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</si>
  <si>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</si>
  <si>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</si>
  <si>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</si>
  <si>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</si>
  <si>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</si>
  <si>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</si>
  <si>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</si>
  <si>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</si>
  <si>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</si>
  <si>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</si>
  <si>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System: enter one paper per row. Yellow answer cells accept whole numbers 1-4 only. Do not enter names or student IDs.</t>
  </si>
  <si>
    <t>The system effectively meets the functional requirement of verifying my student identity using NFC, PIN, and QR codes.</t>
  </si>
  <si>
    <t>The system performs the attendance and entry verification tasks accurately and completely.</t>
  </si>
  <si>
    <t>The features of the system are highly relevant to the problem of monitoring student attendance and campus entry.</t>
  </si>
  <si>
    <t>The system provides appropriate outputs (e.g., visual or audio confirmation) when I input my credentials.</t>
  </si>
  <si>
    <t>The overall functionality successfully aligns with the objective of providing a secure attendance system.</t>
  </si>
  <si>
    <t>The system responds quickly when I tap my NFC card, enter my PIN, or scan my QR code.</t>
  </si>
  <si>
    <t>The system performs well and verifies my entry smoothly even when there is a long line of students.</t>
  </si>
  <si>
    <t>The system maintains consistent verification speed and performance throughout the entire entry process.</t>
  </si>
  <si>
    <t>The overall speed and performance of the system meet my expectations for an attendance process.</t>
  </si>
  <si>
    <t>The physical interface of the verification terminal (keypad, scanner, screen) is intuitive and easy to navigate.</t>
  </si>
  <si>
    <t>The system provides clear instructions and feedback on what step to do next (e.g., when to tap or scan).</t>
  </si>
  <si>
    <t>The design and layout of the verification terminal enhance my overall user experience.</t>
  </si>
  <si>
    <t>I was able to learn how to operate the system (tap, PIN, scan) with minimal to no training.</t>
  </si>
  <si>
    <t>The system supports accessibility and is straightforward enough to be used by all types of students.</t>
  </si>
  <si>
    <t>The system processes my verification consistently without unexpected failures or freezing.</t>
  </si>
  <si>
    <t>If a minor error occurs (e.g., wrong PIN entered), the system allows me to recover easily and try again.</t>
  </si>
  <si>
    <t>I trust that the system accurately records and maintains the integrity of my attendance data.</t>
  </si>
  <si>
    <t>The system successfully reads my inputs under different physical conditions (e.g., fast tapping, minor screen glare).</t>
  </si>
  <si>
    <t>The system demonstrates stable performance from the start to the end of my verification process.</t>
  </si>
  <si>
    <t>The system effectively protects my personal attendance data from unauthorized viewing by others in line.</t>
  </si>
  <si>
    <t>The two-factor authentication (PIN and QR) successfully confirms my true identity.</t>
  </si>
  <si>
    <t>I feel confident that my sensitive credentials (NFC, PIN, QR) are handled securely during verification.</t>
  </si>
  <si>
    <t>The system's design includes measures that prevent common threats, such as others copying or stealing my credentials.</t>
  </si>
  <si>
    <t>The multi-factor process successfully maintains the confidentiality and security of my campus entry.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</si>
</sst>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sz val="10"/>
      <color rgb="FF263638"/>
      <name val="Arial"/>
    </font>
    <font>
      <b/>
      <sz val="10"/>
      <color rgb="FFFFFFFF"/>
      <name val="Arial"/>
    </font>
    <font>
      <b/>
      <sz val="14"/>
      <color rgb="FF263638"/>
      <name val="Arial"/>
    </font>
    <font>
      <sz val="10"/>
      <color rgb="FF26363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85D62"/>
      </patternFill>
    </fill>
    <fill>
      <patternFill patternType="solid">
        <fgColor rgb="FFFFF3CD"/>
      </patternFill>
    </fill>
    <fill>
      <patternFill patternType="solid">
        <fgColor rgb="FFFFF3CD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C9DAF8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showGridLines="0" workbookViewId="0">
      <pane ySplit="1" topLeftCell="A12" activePane="bottomLeft" state="frozen"/>
      <selection pane="bottomLeft" activeCell="A6" sqref="A6:H6"/>
    </sheetView>
  </sheetViews>
  <sheetFormatPr defaultRowHeight="13.8"/>
  <cols>
    <col min="1" max="1" width="29" customWidth="1"/>
    <col min="2" max="8" width="16" customWidth="1"/>
  </cols>
  <sheetData>
    <row r="1" spans="1:8" ht="31.95" customHeight="1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  <c r="H1" s="15" t="s">
        <v>0</v>
      </c>
    </row>
    <row r="2" spans="1:8" ht="22.95" customHeight="1">
      <c r="A2" s="1"/>
      <c r="B2" s="1"/>
      <c r="C2" s="1"/>
      <c r="D2" s="1"/>
      <c r="E2" s="1"/>
      <c r="F2" s="1"/>
      <c r="G2" s="1"/>
      <c r="H2" s="1"/>
    </row>
    <row r="3" spans="1:8" ht="34.950000000000003" customHeight="1">
      <c r="A3" s="14" t="s">
        <v>1</v>
      </c>
      <c r="B3" s="14" t="s">
        <v>1</v>
      </c>
      <c r="C3" s="14" t="s">
        <v>1</v>
      </c>
      <c r="D3" s="14" t="s">
        <v>1</v>
      </c>
      <c r="E3" s="14" t="s">
        <v>1</v>
      </c>
      <c r="F3" s="14" t="s">
        <v>1</v>
      </c>
      <c r="G3" s="14" t="s">
        <v>1</v>
      </c>
      <c r="H3" s="14" t="s">
        <v>1</v>
      </c>
    </row>
    <row r="4" spans="1:8" ht="22.95" customHeight="1">
      <c r="A4" s="1"/>
      <c r="B4" s="1"/>
      <c r="C4" s="1"/>
      <c r="D4" s="1"/>
      <c r="E4" s="1"/>
      <c r="F4" s="1"/>
      <c r="G4" s="1"/>
      <c r="H4" s="1"/>
    </row>
    <row r="5" spans="1:8" ht="34.950000000000003" customHeight="1">
      <c r="A5" s="14" t="s">
        <v>2</v>
      </c>
      <c r="B5" s="14" t="s">
        <v>2</v>
      </c>
      <c r="C5" s="14" t="s">
        <v>2</v>
      </c>
      <c r="D5" s="14" t="s">
        <v>2</v>
      </c>
      <c r="E5" s="14" t="s">
        <v>2</v>
      </c>
      <c r="F5" s="14" t="s">
        <v>2</v>
      </c>
      <c r="G5" s="14" t="s">
        <v>2</v>
      </c>
      <c r="H5" s="14" t="s">
        <v>2</v>
      </c>
    </row>
    <row r="6" spans="1:8" ht="34.950000000000003" customHeight="1">
      <c r="A6" s="14" t="s">
        <v>3</v>
      </c>
      <c r="B6" s="14" t="s">
        <v>3</v>
      </c>
      <c r="C6" s="14" t="s">
        <v>3</v>
      </c>
      <c r="D6" s="14" t="s">
        <v>3</v>
      </c>
      <c r="E6" s="14" t="s">
        <v>3</v>
      </c>
      <c r="F6" s="14" t="s">
        <v>3</v>
      </c>
      <c r="G6" s="14" t="s">
        <v>3</v>
      </c>
      <c r="H6" s="14" t="s">
        <v>3</v>
      </c>
    </row>
    <row r="7" spans="1:8" ht="34.950000000000003" customHeight="1">
      <c r="A7" s="14" t="s">
        <v>4</v>
      </c>
      <c r="B7" s="14" t="s">
        <v>4</v>
      </c>
      <c r="C7" s="14" t="s">
        <v>4</v>
      </c>
      <c r="D7" s="14" t="s">
        <v>4</v>
      </c>
      <c r="E7" s="14" t="s">
        <v>4</v>
      </c>
      <c r="F7" s="14" t="s">
        <v>4</v>
      </c>
      <c r="G7" s="14" t="s">
        <v>4</v>
      </c>
      <c r="H7" s="14" t="s">
        <v>4</v>
      </c>
    </row>
    <row r="8" spans="1:8" ht="34.950000000000003" customHeight="1">
      <c r="A8" s="14" t="s">
        <v>5</v>
      </c>
      <c r="B8" s="14" t="s">
        <v>5</v>
      </c>
      <c r="C8" s="14" t="s">
        <v>5</v>
      </c>
      <c r="D8" s="14" t="s">
        <v>5</v>
      </c>
      <c r="E8" s="14" t="s">
        <v>5</v>
      </c>
      <c r="F8" s="14" t="s">
        <v>5</v>
      </c>
      <c r="G8" s="14" t="s">
        <v>5</v>
      </c>
      <c r="H8" s="14" t="s">
        <v>5</v>
      </c>
    </row>
    <row r="9" spans="1:8" ht="34.950000000000003" customHeight="1">
      <c r="A9" s="14" t="s">
        <v>6</v>
      </c>
      <c r="B9" s="14" t="s">
        <v>6</v>
      </c>
      <c r="C9" s="14" t="s">
        <v>6</v>
      </c>
      <c r="D9" s="14" t="s">
        <v>6</v>
      </c>
      <c r="E9" s="14" t="s">
        <v>6</v>
      </c>
      <c r="F9" s="14" t="s">
        <v>6</v>
      </c>
      <c r="G9" s="14" t="s">
        <v>6</v>
      </c>
      <c r="H9" s="14" t="s">
        <v>6</v>
      </c>
    </row>
    <row r="10" spans="1:8" ht="34.950000000000003" customHeight="1">
      <c r="A10" s="14" t="s">
        <v>7</v>
      </c>
      <c r="B10" s="14" t="s">
        <v>7</v>
      </c>
      <c r="C10" s="14" t="s">
        <v>7</v>
      </c>
      <c r="D10" s="14" t="s">
        <v>7</v>
      </c>
      <c r="E10" s="14" t="s">
        <v>7</v>
      </c>
      <c r="F10" s="14" t="s">
        <v>7</v>
      </c>
      <c r="G10" s="14" t="s">
        <v>7</v>
      </c>
      <c r="H10" s="14" t="s">
        <v>7</v>
      </c>
    </row>
    <row r="11" spans="1:8" ht="22.95" customHeight="1">
      <c r="A11" s="1"/>
      <c r="B11" s="1"/>
      <c r="C11" s="1"/>
      <c r="D11" s="1"/>
      <c r="E11" s="1"/>
      <c r="F11" s="1"/>
      <c r="G11" s="1"/>
      <c r="H11" s="1"/>
    </row>
    <row r="12" spans="1:8" ht="43.05" customHeight="1">
      <c r="A12" s="2" t="s">
        <v>8</v>
      </c>
      <c r="B12" s="2" t="s">
        <v>9</v>
      </c>
      <c r="C12" s="2" t="s">
        <v>10</v>
      </c>
      <c r="D12" s="2" t="s">
        <v>11</v>
      </c>
      <c r="E12" s="1"/>
      <c r="F12" s="1"/>
      <c r="G12" s="1"/>
      <c r="H12" s="1"/>
    </row>
    <row r="13" spans="1:8" ht="22.95" customHeight="1">
      <c r="A13" s="1" t="s">
        <v>12</v>
      </c>
      <c r="B13" s="1">
        <f>COUNTIF(Manual!AF2:AF71,"Complete")</f>
        <v>70</v>
      </c>
      <c r="C13" s="1">
        <f>COUNTIF(System!AF2:AF71,"Complete")</f>
        <v>70</v>
      </c>
      <c r="D13" s="1">
        <v>70</v>
      </c>
      <c r="E13" s="1"/>
      <c r="F13" s="1"/>
      <c r="G13" s="1"/>
      <c r="H13" s="1"/>
    </row>
    <row r="14" spans="1:8" ht="22.95" customHeight="1">
      <c r="A14" s="1" t="s">
        <v>13</v>
      </c>
      <c r="B14" s="1">
        <f>COUNTIF(Manual!AF2:AF71,"CHECK PAPER")</f>
        <v>0</v>
      </c>
      <c r="C14" s="1">
        <f>COUNTIF(System!AF2:AF71,"CHECK PAPER")</f>
        <v>0</v>
      </c>
      <c r="D14" s="1">
        <v>0</v>
      </c>
      <c r="E14" s="1"/>
      <c r="F14" s="1"/>
      <c r="G14" s="1"/>
      <c r="H14" s="1"/>
    </row>
    <row r="15" spans="1:8" ht="22.95" customHeight="1">
      <c r="A15" s="1" t="s">
        <v>14</v>
      </c>
      <c r="B15" s="1">
        <f>COUNTIF(Manual!AF2:AF71,"Not entered")</f>
        <v>0</v>
      </c>
      <c r="C15" s="1">
        <f>COUNTIF(System!AF2:AF71,"Not entered")</f>
        <v>0</v>
      </c>
      <c r="D15" s="1">
        <v>0</v>
      </c>
      <c r="E15" s="1"/>
      <c r="F15" s="1"/>
      <c r="G15" s="1"/>
      <c r="H15" s="1"/>
    </row>
    <row r="16" spans="1:8" ht="22.95" customHeight="1">
      <c r="A16" s="1"/>
      <c r="B16" s="1"/>
      <c r="C16" s="1"/>
      <c r="D16" s="1"/>
      <c r="E16" s="1"/>
      <c r="F16" s="1"/>
      <c r="G16" s="1"/>
      <c r="H16" s="1"/>
    </row>
    <row r="17" spans="1:8" ht="34.950000000000003" customHeight="1">
      <c r="A17" s="14" t="s">
        <v>15</v>
      </c>
      <c r="B17" s="14" t="s">
        <v>15</v>
      </c>
      <c r="C17" s="14" t="s">
        <v>15</v>
      </c>
      <c r="D17" s="14" t="s">
        <v>15</v>
      </c>
      <c r="E17" s="14" t="s">
        <v>15</v>
      </c>
      <c r="F17" s="14" t="s">
        <v>15</v>
      </c>
      <c r="G17" s="14" t="s">
        <v>15</v>
      </c>
      <c r="H17" s="14" t="s">
        <v>15</v>
      </c>
    </row>
    <row r="18" spans="1:8" ht="22.95" customHeight="1">
      <c r="A18" s="1"/>
      <c r="B18" s="1"/>
      <c r="C18" s="1"/>
      <c r="D18" s="1"/>
      <c r="E18" s="1"/>
      <c r="F18" s="1"/>
      <c r="G18" s="1"/>
      <c r="H18" s="1"/>
    </row>
    <row r="19" spans="1:8" ht="43.05" customHeight="1">
      <c r="A19" s="2" t="s">
        <v>16</v>
      </c>
      <c r="B19" s="2" t="s">
        <v>17</v>
      </c>
      <c r="C19" s="2" t="s">
        <v>18</v>
      </c>
      <c r="D19" s="2" t="s">
        <v>19</v>
      </c>
      <c r="E19" s="2" t="s">
        <v>20</v>
      </c>
      <c r="F19" s="1"/>
      <c r="G19" s="1"/>
      <c r="H19" s="1"/>
    </row>
    <row r="20" spans="1:8" ht="22.95" customHeight="1">
      <c r="A20" s="1" t="s">
        <v>21</v>
      </c>
      <c r="B20" s="5">
        <f>IF($B$13=70,AVERAGE(Manual!Z2:Z71),"")</f>
        <v>2.482857142857144</v>
      </c>
      <c r="C20" s="5">
        <f>IF($B$13=70,STDEV(Manual!Z2:Z71),"")</f>
        <v>0.89862558961480177</v>
      </c>
      <c r="D20" s="5">
        <f>IF($C$13=70,AVERAGE(System!Z2:Z71),"")</f>
        <v>3.7628571428571433</v>
      </c>
      <c r="E20" s="5">
        <f>IF($C$13=70,STDEV(System!Z2:Z71),"")</f>
        <v>0.31813379218632043</v>
      </c>
      <c r="F20" s="1"/>
      <c r="G20" s="1"/>
      <c r="H20" s="1"/>
    </row>
    <row r="21" spans="1:8" ht="22.95" customHeight="1">
      <c r="A21" s="1" t="s">
        <v>22</v>
      </c>
      <c r="B21" s="5">
        <f>IF($B$13=70,AVERAGE(Manual!AA2:AA71),"")</f>
        <v>1.9321428571428572</v>
      </c>
      <c r="C21" s="5">
        <f>IF($B$13=70,STDEV(Manual!AA2:AA71),"")</f>
        <v>0.91872768490244749</v>
      </c>
      <c r="D21" s="5">
        <f>IF($C$13=70,AVERAGE(System!AA2:AA71),"")</f>
        <v>3.7428571428571429</v>
      </c>
      <c r="E21" s="5">
        <f>IF($C$13=70,STDEV(System!AA2:AA71),"")</f>
        <v>0.36606858808169312</v>
      </c>
      <c r="F21" s="1"/>
      <c r="G21" s="1"/>
      <c r="H21" s="1"/>
    </row>
    <row r="22" spans="1:8" ht="22.95" customHeight="1">
      <c r="A22" s="1" t="s">
        <v>23</v>
      </c>
      <c r="B22" s="5">
        <f>IF($B$13=70,AVERAGE(Manual!AB2:AB71),"")</f>
        <v>2.6371428571428579</v>
      </c>
      <c r="C22" s="5">
        <f>IF($B$13=70,STDEV(Manual!AB2:AB71),"")</f>
        <v>0.85417498607269693</v>
      </c>
      <c r="D22" s="5">
        <f>IF($C$13=70,AVERAGE(System!AB2:AB71),"")</f>
        <v>3.740000000000002</v>
      </c>
      <c r="E22" s="5">
        <f>IF($C$13=70,STDEV(System!AB2:AB71),"")</f>
        <v>0.3289861456930534</v>
      </c>
      <c r="F22" s="1"/>
      <c r="G22" s="1"/>
      <c r="H22" s="1"/>
    </row>
    <row r="23" spans="1:8" ht="22.95" customHeight="1">
      <c r="A23" s="1" t="s">
        <v>24</v>
      </c>
      <c r="B23" s="5">
        <f>IF($B$13=70,AVERAGE(Manual!AC2:AC71),"")</f>
        <v>2.1828571428571419</v>
      </c>
      <c r="C23" s="5">
        <f>IF($B$13=70,STDEV(Manual!AC2:AC71),"")</f>
        <v>0.85244259929520794</v>
      </c>
      <c r="D23" s="5">
        <f>IF($C$13=70,AVERAGE(System!AC2:AC71),"")</f>
        <v>3.7114285714285722</v>
      </c>
      <c r="E23" s="5">
        <f>IF($C$13=70,STDEV(System!AC2:AC71),"")</f>
        <v>0.34830557013394925</v>
      </c>
      <c r="F23" s="1"/>
      <c r="G23" s="1"/>
      <c r="H23" s="1"/>
    </row>
    <row r="24" spans="1:8" ht="22.95" customHeight="1">
      <c r="A24" s="1" t="s">
        <v>25</v>
      </c>
      <c r="B24" s="5">
        <f>IF($B$13=70,AVERAGE(Manual!AD2:AD71),"")</f>
        <v>2.1828571428571424</v>
      </c>
      <c r="C24" s="5">
        <f>IF($B$13=70,STDEV(Manual!AD2:AD71),"")</f>
        <v>0.88317139810259926</v>
      </c>
      <c r="D24" s="5">
        <f>IF($C$13=70,AVERAGE(System!AD2:AD71),"")</f>
        <v>3.75142857142857</v>
      </c>
      <c r="E24" s="5">
        <f>IF($C$13=70,STDEV(System!AD2:AD71),"")</f>
        <v>0.34124361527938363</v>
      </c>
      <c r="F24" s="1"/>
      <c r="G24" s="1"/>
      <c r="H24" s="1"/>
    </row>
    <row r="25" spans="1:8" ht="22.95" customHeight="1">
      <c r="A25" s="1" t="s">
        <v>26</v>
      </c>
      <c r="B25" s="5">
        <f>IF($B$13=70,AVERAGE(Manual!AE2:AE71),"")</f>
        <v>2.2835714285714288</v>
      </c>
      <c r="C25" s="5">
        <f>IF($B$13=70,STDEV(Manual!AE2:AE71),"")</f>
        <v>0.75261868574223034</v>
      </c>
      <c r="D25" s="5">
        <f>IF($C$13=70,AVERAGE(System!AE2:AE71),"")</f>
        <v>3.7417142857142851</v>
      </c>
      <c r="E25" s="5">
        <f>IF($C$13=70,STDEV(System!AE2:AE71),"")</f>
        <v>0.29021716720550272</v>
      </c>
      <c r="F25" s="1"/>
      <c r="G25" s="1"/>
      <c r="H25" s="1"/>
    </row>
    <row r="26" spans="1:8" ht="22.95" customHeight="1">
      <c r="A26" s="1"/>
      <c r="B26" s="1"/>
      <c r="C26" s="1"/>
      <c r="D26" s="1"/>
      <c r="E26" s="1"/>
      <c r="F26" s="1"/>
      <c r="G26" s="1"/>
      <c r="H26" s="1"/>
    </row>
    <row r="27" spans="1:8" ht="40.049999999999997" customHeight="1">
      <c r="A27" s="14" t="s">
        <v>27</v>
      </c>
      <c r="B27" s="14" t="s">
        <v>27</v>
      </c>
      <c r="C27" s="14" t="s">
        <v>27</v>
      </c>
      <c r="D27" s="14" t="s">
        <v>27</v>
      </c>
      <c r="E27" s="14" t="s">
        <v>27</v>
      </c>
      <c r="F27" s="14" t="s">
        <v>27</v>
      </c>
      <c r="G27" s="14" t="s">
        <v>27</v>
      </c>
      <c r="H27" s="14" t="s">
        <v>27</v>
      </c>
    </row>
    <row r="28" spans="1:8" ht="22.95" customHeight="1">
      <c r="A28" s="1"/>
      <c r="B28" s="1"/>
      <c r="C28" s="1"/>
      <c r="D28" s="1"/>
      <c r="E28" s="1"/>
      <c r="F28" s="1"/>
      <c r="G28" s="1"/>
      <c r="H28" s="1"/>
    </row>
    <row r="29" spans="1:8" ht="40.049999999999997" customHeight="1">
      <c r="A29" s="14" t="s">
        <v>28</v>
      </c>
      <c r="B29" s="14" t="s">
        <v>28</v>
      </c>
      <c r="C29" s="14" t="s">
        <v>28</v>
      </c>
      <c r="D29" s="14" t="s">
        <v>28</v>
      </c>
      <c r="E29" s="14" t="s">
        <v>28</v>
      </c>
      <c r="F29" s="14" t="s">
        <v>28</v>
      </c>
      <c r="G29" s="14" t="s">
        <v>28</v>
      </c>
      <c r="H29" s="14" t="s">
        <v>28</v>
      </c>
    </row>
    <row r="30" spans="1:8" ht="22.95" customHeight="1">
      <c r="A30" s="1"/>
      <c r="B30" s="1"/>
      <c r="C30" s="1"/>
      <c r="D30" s="1"/>
      <c r="E30" s="1"/>
      <c r="F30" s="1"/>
      <c r="G30" s="1"/>
      <c r="H30" s="1"/>
    </row>
    <row r="31" spans="1:8" ht="34.950000000000003" customHeight="1">
      <c r="A31" s="14" t="s">
        <v>29</v>
      </c>
      <c r="B31" s="14" t="s">
        <v>29</v>
      </c>
      <c r="C31" s="14" t="s">
        <v>29</v>
      </c>
      <c r="D31" s="14" t="s">
        <v>29</v>
      </c>
      <c r="E31" s="14" t="s">
        <v>29</v>
      </c>
      <c r="F31" s="14" t="s">
        <v>29</v>
      </c>
      <c r="G31" s="14" t="s">
        <v>29</v>
      </c>
      <c r="H31" s="14" t="s">
        <v>29</v>
      </c>
    </row>
    <row r="32" spans="1:8" ht="22.95" customHeight="1">
      <c r="A32" s="1"/>
      <c r="B32" s="1"/>
      <c r="C32" s="1"/>
      <c r="D32" s="1"/>
      <c r="E32" s="1"/>
      <c r="F32" s="1"/>
      <c r="G32" s="1"/>
      <c r="H32" s="1"/>
    </row>
    <row r="33" spans="1:8" ht="34.950000000000003" customHeight="1">
      <c r="A33" s="14" t="s">
        <v>30</v>
      </c>
      <c r="B33" s="14" t="s">
        <v>30</v>
      </c>
      <c r="C33" s="14" t="s">
        <v>30</v>
      </c>
      <c r="D33" s="14" t="s">
        <v>30</v>
      </c>
      <c r="E33" s="14" t="s">
        <v>30</v>
      </c>
      <c r="F33" s="14" t="s">
        <v>30</v>
      </c>
      <c r="G33" s="14" t="s">
        <v>30</v>
      </c>
      <c r="H33" s="14" t="s">
        <v>30</v>
      </c>
    </row>
    <row r="34" spans="1:8" ht="22.95" customHeight="1">
      <c r="A34" s="1"/>
      <c r="B34" s="1"/>
      <c r="C34" s="1"/>
      <c r="D34" s="1"/>
      <c r="E34" s="1"/>
      <c r="F34" s="1"/>
      <c r="G34" s="1"/>
      <c r="H34" s="1"/>
    </row>
    <row r="35" spans="1:8" ht="37.950000000000003" customHeight="1">
      <c r="A35" s="14" t="s">
        <v>31</v>
      </c>
      <c r="B35" s="14" t="s">
        <v>31</v>
      </c>
      <c r="C35" s="14" t="s">
        <v>31</v>
      </c>
      <c r="D35" s="14" t="s">
        <v>31</v>
      </c>
      <c r="E35" s="14" t="s">
        <v>31</v>
      </c>
      <c r="F35" s="14" t="s">
        <v>31</v>
      </c>
      <c r="G35" s="14" t="s">
        <v>31</v>
      </c>
      <c r="H35" s="14" t="s">
        <v>31</v>
      </c>
    </row>
    <row r="36" spans="1:8" ht="22.95" customHeight="1">
      <c r="A36" s="1"/>
      <c r="B36" s="1"/>
      <c r="C36" s="1"/>
      <c r="D36" s="1"/>
      <c r="E36" s="1"/>
      <c r="F36" s="1"/>
      <c r="G36" s="1"/>
      <c r="H36" s="1"/>
    </row>
  </sheetData>
  <mergeCells count="14">
    <mergeCell ref="A1:H1"/>
    <mergeCell ref="A3:H3"/>
    <mergeCell ref="A5:H5"/>
    <mergeCell ref="A6:H6"/>
    <mergeCell ref="A7:H7"/>
    <mergeCell ref="A29:H29"/>
    <mergeCell ref="A31:H31"/>
    <mergeCell ref="A33:H33"/>
    <mergeCell ref="A35:H35"/>
    <mergeCell ref="A8:H8"/>
    <mergeCell ref="A9:H9"/>
    <mergeCell ref="A10:H10"/>
    <mergeCell ref="A17:H17"/>
    <mergeCell ref="A27:H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5"/>
  <sheetViews>
    <sheetView showGridLines="0" workbookViewId="0">
      <pane ySplit="1" topLeftCell="A2" activePane="bottomLeft" state="frozen"/>
      <selection pane="bottomLeft" activeCell="B2" sqref="B2:Y71"/>
    </sheetView>
  </sheetViews>
  <sheetFormatPr defaultRowHeight="13.8"/>
  <cols>
    <col min="1" max="1" width="13" customWidth="1"/>
    <col min="2" max="25" width="7" customWidth="1"/>
    <col min="26" max="31" width="18" customWidth="1"/>
    <col min="32" max="32" width="20" customWidth="1"/>
    <col min="33" max="33" width="15" customWidth="1"/>
  </cols>
  <sheetData>
    <row r="1" spans="1:33" ht="43.05" customHeight="1" thickBot="1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49</v>
      </c>
      <c r="S1" s="2" t="s">
        <v>50</v>
      </c>
      <c r="T1" s="2" t="s">
        <v>51</v>
      </c>
      <c r="U1" s="2" t="s">
        <v>52</v>
      </c>
      <c r="V1" s="2" t="s">
        <v>53</v>
      </c>
      <c r="W1" s="2" t="s">
        <v>54</v>
      </c>
      <c r="X1" s="2" t="s">
        <v>55</v>
      </c>
      <c r="Y1" s="2" t="s">
        <v>56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57</v>
      </c>
      <c r="AG1" s="2" t="s">
        <v>58</v>
      </c>
    </row>
    <row r="2" spans="1:33" ht="22.95" customHeight="1" thickBot="1">
      <c r="A2" s="1" t="s">
        <v>59</v>
      </c>
      <c r="B2" s="6">
        <v>3</v>
      </c>
      <c r="C2" s="7">
        <v>1</v>
      </c>
      <c r="D2" s="7">
        <v>2</v>
      </c>
      <c r="E2" s="7">
        <v>2</v>
      </c>
      <c r="F2" s="7">
        <v>4</v>
      </c>
      <c r="G2" s="7">
        <v>3</v>
      </c>
      <c r="H2" s="7">
        <v>3</v>
      </c>
      <c r="I2" s="7">
        <v>3</v>
      </c>
      <c r="J2" s="7">
        <v>3</v>
      </c>
      <c r="K2" s="7">
        <v>2</v>
      </c>
      <c r="L2" s="7">
        <v>3</v>
      </c>
      <c r="M2" s="7">
        <v>3</v>
      </c>
      <c r="N2" s="7">
        <v>2</v>
      </c>
      <c r="O2" s="7">
        <v>4</v>
      </c>
      <c r="P2" s="7">
        <v>4</v>
      </c>
      <c r="Q2" s="7">
        <v>3</v>
      </c>
      <c r="R2" s="7">
        <v>3</v>
      </c>
      <c r="S2" s="7">
        <v>4</v>
      </c>
      <c r="T2" s="7">
        <v>4</v>
      </c>
      <c r="U2" s="7">
        <v>4</v>
      </c>
      <c r="V2" s="7">
        <v>3</v>
      </c>
      <c r="W2" s="7">
        <v>3</v>
      </c>
      <c r="X2" s="7">
        <v>4</v>
      </c>
      <c r="Y2" s="7">
        <v>4</v>
      </c>
      <c r="Z2" s="4">
        <f t="shared" ref="Z2:Z33" si="0">IF($AF2="Complete",AVERAGE(B2:F2),"")</f>
        <v>2.4</v>
      </c>
      <c r="AA2" s="4">
        <f t="shared" ref="AA2:AA33" si="1">IF($AF2="Complete",AVERAGE(G2:J2),"")</f>
        <v>3</v>
      </c>
      <c r="AB2" s="4">
        <f t="shared" ref="AB2:AB33" si="2">IF($AF2="Complete",AVERAGE(K2:O2),"")</f>
        <v>2.8</v>
      </c>
      <c r="AC2" s="4">
        <f t="shared" ref="AC2:AC33" si="3">IF($AF2="Complete",AVERAGE(P2:T2),"")</f>
        <v>3.6</v>
      </c>
      <c r="AD2" s="4">
        <f t="shared" ref="AD2:AD33" si="4">IF($AF2="Complete",AVERAGE(U2:Y2),"")</f>
        <v>3.6</v>
      </c>
      <c r="AE2" s="4">
        <f t="shared" ref="AE2:AE33" si="5">IF($AF2="Complete",AVERAGE(Z2:AD2),"")</f>
        <v>3.0799999999999996</v>
      </c>
      <c r="AF2" s="1" t="str">
        <f t="shared" ref="AF2:AF33" si="6">IF(COUNTA(B2:Y2)=0,"Not entered",IF(AND(COUNT(B2:Y2)=24,COUNTIF(B2:Y2,1)+COUNTIF(B2:Y2,2)+COUNTIF(B2:Y2,3)+COUNTIF(B2:Y2,4)=24),"Complete","CHECK PAPER"))</f>
        <v>Complete</v>
      </c>
      <c r="AG2" s="3"/>
    </row>
    <row r="3" spans="1:33" ht="22.95" customHeight="1" thickBot="1">
      <c r="A3" s="1" t="s">
        <v>60</v>
      </c>
      <c r="B3" s="10">
        <v>3</v>
      </c>
      <c r="C3" s="11">
        <v>3</v>
      </c>
      <c r="D3" s="11">
        <v>2</v>
      </c>
      <c r="E3" s="11">
        <v>2</v>
      </c>
      <c r="F3" s="11">
        <v>3</v>
      </c>
      <c r="G3" s="11">
        <v>3</v>
      </c>
      <c r="H3" s="11">
        <v>1</v>
      </c>
      <c r="I3" s="11">
        <v>1</v>
      </c>
      <c r="J3" s="11">
        <v>2</v>
      </c>
      <c r="K3" s="11">
        <v>4</v>
      </c>
      <c r="L3" s="11">
        <v>3</v>
      </c>
      <c r="M3" s="11">
        <v>3</v>
      </c>
      <c r="N3" s="11">
        <v>3</v>
      </c>
      <c r="O3" s="11">
        <v>2</v>
      </c>
      <c r="P3" s="11">
        <v>3</v>
      </c>
      <c r="Q3" s="11">
        <v>3</v>
      </c>
      <c r="R3" s="11">
        <v>3</v>
      </c>
      <c r="S3" s="11">
        <v>3</v>
      </c>
      <c r="T3" s="11">
        <v>2</v>
      </c>
      <c r="U3" s="11">
        <v>3</v>
      </c>
      <c r="V3" s="11">
        <v>3</v>
      </c>
      <c r="W3" s="11">
        <v>3</v>
      </c>
      <c r="X3" s="11">
        <v>3</v>
      </c>
      <c r="Y3" s="11">
        <v>3</v>
      </c>
      <c r="Z3" s="4">
        <f t="shared" si="0"/>
        <v>2.6</v>
      </c>
      <c r="AA3" s="4">
        <f t="shared" si="1"/>
        <v>1.75</v>
      </c>
      <c r="AB3" s="4">
        <f t="shared" si="2"/>
        <v>3</v>
      </c>
      <c r="AC3" s="4">
        <f t="shared" si="3"/>
        <v>2.8</v>
      </c>
      <c r="AD3" s="4">
        <f t="shared" si="4"/>
        <v>3</v>
      </c>
      <c r="AE3" s="4">
        <f t="shared" si="5"/>
        <v>2.63</v>
      </c>
      <c r="AF3" s="1" t="str">
        <f t="shared" si="6"/>
        <v>Complete</v>
      </c>
      <c r="AG3" s="3"/>
    </row>
    <row r="4" spans="1:33" ht="22.95" customHeight="1" thickBot="1">
      <c r="A4" s="1" t="s">
        <v>61</v>
      </c>
      <c r="B4" s="10">
        <v>2</v>
      </c>
      <c r="C4" s="11">
        <v>2</v>
      </c>
      <c r="D4" s="11">
        <v>3</v>
      </c>
      <c r="E4" s="11">
        <v>2</v>
      </c>
      <c r="F4" s="11">
        <v>3</v>
      </c>
      <c r="G4" s="11">
        <v>3</v>
      </c>
      <c r="H4" s="11">
        <v>2</v>
      </c>
      <c r="I4" s="11">
        <v>1</v>
      </c>
      <c r="J4" s="11">
        <v>1</v>
      </c>
      <c r="K4" s="11">
        <v>2</v>
      </c>
      <c r="L4" s="11">
        <v>3</v>
      </c>
      <c r="M4" s="11">
        <v>2</v>
      </c>
      <c r="N4" s="11">
        <v>3</v>
      </c>
      <c r="O4" s="11">
        <v>3</v>
      </c>
      <c r="P4" s="11">
        <v>2</v>
      </c>
      <c r="Q4" s="11">
        <v>2</v>
      </c>
      <c r="R4" s="11">
        <v>1</v>
      </c>
      <c r="S4" s="11">
        <v>2</v>
      </c>
      <c r="T4" s="11">
        <v>1</v>
      </c>
      <c r="U4" s="11">
        <v>2</v>
      </c>
      <c r="V4" s="11">
        <v>3</v>
      </c>
      <c r="W4" s="11">
        <v>2</v>
      </c>
      <c r="X4" s="11">
        <v>1</v>
      </c>
      <c r="Y4" s="11">
        <v>3</v>
      </c>
      <c r="Z4" s="4">
        <f t="shared" si="0"/>
        <v>2.4</v>
      </c>
      <c r="AA4" s="4">
        <f t="shared" si="1"/>
        <v>1.75</v>
      </c>
      <c r="AB4" s="4">
        <f t="shared" si="2"/>
        <v>2.6</v>
      </c>
      <c r="AC4" s="4">
        <f t="shared" si="3"/>
        <v>1.6</v>
      </c>
      <c r="AD4" s="4">
        <f t="shared" si="4"/>
        <v>2.2000000000000002</v>
      </c>
      <c r="AE4" s="4">
        <f t="shared" si="5"/>
        <v>2.1100000000000003</v>
      </c>
      <c r="AF4" s="1" t="str">
        <f t="shared" si="6"/>
        <v>Complete</v>
      </c>
      <c r="AG4" s="3"/>
    </row>
    <row r="5" spans="1:33" ht="22.95" customHeight="1" thickBot="1">
      <c r="A5" s="1" t="s">
        <v>62</v>
      </c>
      <c r="B5" s="10">
        <v>3</v>
      </c>
      <c r="C5" s="11">
        <v>3</v>
      </c>
      <c r="D5" s="11">
        <v>2</v>
      </c>
      <c r="E5" s="11">
        <v>3</v>
      </c>
      <c r="F5" s="11">
        <v>3</v>
      </c>
      <c r="G5" s="11">
        <v>2</v>
      </c>
      <c r="H5" s="11">
        <v>2</v>
      </c>
      <c r="I5" s="11">
        <v>2</v>
      </c>
      <c r="J5" s="11">
        <v>2</v>
      </c>
      <c r="K5" s="11">
        <v>3</v>
      </c>
      <c r="L5" s="11">
        <v>3</v>
      </c>
      <c r="M5" s="11">
        <v>3</v>
      </c>
      <c r="N5" s="11">
        <v>3</v>
      </c>
      <c r="O5" s="11">
        <v>3</v>
      </c>
      <c r="P5" s="11">
        <v>4</v>
      </c>
      <c r="Q5" s="11">
        <v>4</v>
      </c>
      <c r="R5" s="11">
        <v>4</v>
      </c>
      <c r="S5" s="11">
        <v>4</v>
      </c>
      <c r="T5" s="11">
        <v>4</v>
      </c>
      <c r="U5" s="11">
        <v>3</v>
      </c>
      <c r="V5" s="11">
        <v>3</v>
      </c>
      <c r="W5" s="11">
        <v>4</v>
      </c>
      <c r="X5" s="11">
        <v>4</v>
      </c>
      <c r="Y5" s="11">
        <v>3</v>
      </c>
      <c r="Z5" s="4">
        <f t="shared" si="0"/>
        <v>2.8</v>
      </c>
      <c r="AA5" s="4">
        <f t="shared" si="1"/>
        <v>2</v>
      </c>
      <c r="AB5" s="4">
        <f t="shared" si="2"/>
        <v>3</v>
      </c>
      <c r="AC5" s="4">
        <f t="shared" si="3"/>
        <v>4</v>
      </c>
      <c r="AD5" s="4">
        <f t="shared" si="4"/>
        <v>3.4</v>
      </c>
      <c r="AE5" s="4">
        <f t="shared" si="5"/>
        <v>3.04</v>
      </c>
      <c r="AF5" s="1" t="str">
        <f t="shared" si="6"/>
        <v>Complete</v>
      </c>
      <c r="AG5" s="3"/>
    </row>
    <row r="6" spans="1:33" ht="22.95" customHeight="1" thickBot="1">
      <c r="A6" s="1" t="s">
        <v>63</v>
      </c>
      <c r="B6" s="10">
        <v>1</v>
      </c>
      <c r="C6" s="11">
        <v>1</v>
      </c>
      <c r="D6" s="11">
        <v>1</v>
      </c>
      <c r="E6" s="11">
        <v>1</v>
      </c>
      <c r="F6" s="11">
        <v>2</v>
      </c>
      <c r="G6" s="11">
        <v>2</v>
      </c>
      <c r="H6" s="11">
        <v>2</v>
      </c>
      <c r="I6" s="11">
        <v>1</v>
      </c>
      <c r="J6" s="11">
        <v>2</v>
      </c>
      <c r="K6" s="11">
        <v>2</v>
      </c>
      <c r="L6" s="11">
        <v>1</v>
      </c>
      <c r="M6" s="11">
        <v>1</v>
      </c>
      <c r="N6" s="11">
        <v>1</v>
      </c>
      <c r="O6" s="11">
        <v>2</v>
      </c>
      <c r="P6" s="11">
        <v>2</v>
      </c>
      <c r="Q6" s="11">
        <v>2</v>
      </c>
      <c r="R6" s="11">
        <v>2</v>
      </c>
      <c r="S6" s="11">
        <v>1</v>
      </c>
      <c r="T6" s="11">
        <v>1</v>
      </c>
      <c r="U6" s="11">
        <v>1</v>
      </c>
      <c r="V6" s="11">
        <v>1</v>
      </c>
      <c r="W6" s="11">
        <v>2</v>
      </c>
      <c r="X6" s="11">
        <v>1</v>
      </c>
      <c r="Y6" s="11">
        <v>2</v>
      </c>
      <c r="Z6" s="4">
        <f t="shared" si="0"/>
        <v>1.2</v>
      </c>
      <c r="AA6" s="4">
        <f t="shared" si="1"/>
        <v>1.75</v>
      </c>
      <c r="AB6" s="4">
        <f t="shared" si="2"/>
        <v>1.4</v>
      </c>
      <c r="AC6" s="4">
        <f t="shared" si="3"/>
        <v>1.6</v>
      </c>
      <c r="AD6" s="4">
        <f t="shared" si="4"/>
        <v>1.4</v>
      </c>
      <c r="AE6" s="4">
        <f t="shared" si="5"/>
        <v>1.47</v>
      </c>
      <c r="AF6" s="1" t="str">
        <f t="shared" si="6"/>
        <v>Complete</v>
      </c>
      <c r="AG6" s="3"/>
    </row>
    <row r="7" spans="1:33" ht="22.95" customHeight="1" thickBot="1">
      <c r="A7" s="1" t="s">
        <v>64</v>
      </c>
      <c r="B7" s="10">
        <v>3</v>
      </c>
      <c r="C7" s="11">
        <v>4</v>
      </c>
      <c r="D7" s="11">
        <v>3</v>
      </c>
      <c r="E7" s="11">
        <v>4</v>
      </c>
      <c r="F7" s="11">
        <v>3</v>
      </c>
      <c r="G7" s="11">
        <v>2</v>
      </c>
      <c r="H7" s="11">
        <v>2</v>
      </c>
      <c r="I7" s="11">
        <v>3</v>
      </c>
      <c r="J7" s="11">
        <v>3</v>
      </c>
      <c r="K7" s="11">
        <v>3</v>
      </c>
      <c r="L7" s="11">
        <v>3</v>
      </c>
      <c r="M7" s="11">
        <v>3</v>
      </c>
      <c r="N7" s="11">
        <v>4</v>
      </c>
      <c r="O7" s="11">
        <v>3</v>
      </c>
      <c r="P7" s="11">
        <v>3</v>
      </c>
      <c r="Q7" s="11">
        <v>2</v>
      </c>
      <c r="R7" s="11">
        <v>3</v>
      </c>
      <c r="S7" s="11">
        <v>3</v>
      </c>
      <c r="T7" s="11">
        <v>3</v>
      </c>
      <c r="U7" s="11">
        <v>4</v>
      </c>
      <c r="V7" s="11">
        <v>3</v>
      </c>
      <c r="W7" s="11">
        <v>3</v>
      </c>
      <c r="X7" s="11">
        <v>3</v>
      </c>
      <c r="Y7" s="11">
        <v>2</v>
      </c>
      <c r="Z7" s="4">
        <f t="shared" si="0"/>
        <v>3.4</v>
      </c>
      <c r="AA7" s="4">
        <f t="shared" si="1"/>
        <v>2.5</v>
      </c>
      <c r="AB7" s="4">
        <f t="shared" si="2"/>
        <v>3.2</v>
      </c>
      <c r="AC7" s="4">
        <f t="shared" si="3"/>
        <v>2.8</v>
      </c>
      <c r="AD7" s="4">
        <f t="shared" si="4"/>
        <v>3</v>
      </c>
      <c r="AE7" s="4">
        <f t="shared" si="5"/>
        <v>2.9800000000000004</v>
      </c>
      <c r="AF7" s="1" t="str">
        <f t="shared" si="6"/>
        <v>Complete</v>
      </c>
      <c r="AG7" s="3"/>
    </row>
    <row r="8" spans="1:33" ht="22.95" customHeight="1" thickBot="1">
      <c r="A8" s="1" t="s">
        <v>65</v>
      </c>
      <c r="B8" s="10">
        <v>3</v>
      </c>
      <c r="C8" s="11">
        <v>3</v>
      </c>
      <c r="D8" s="11">
        <v>2</v>
      </c>
      <c r="E8" s="11">
        <v>2</v>
      </c>
      <c r="F8" s="11">
        <v>2</v>
      </c>
      <c r="G8" s="11">
        <v>2</v>
      </c>
      <c r="H8" s="11">
        <v>1</v>
      </c>
      <c r="I8" s="11">
        <v>1</v>
      </c>
      <c r="J8" s="11">
        <v>1</v>
      </c>
      <c r="K8" s="11">
        <v>3</v>
      </c>
      <c r="L8" s="11">
        <v>3</v>
      </c>
      <c r="M8" s="11">
        <v>2</v>
      </c>
      <c r="N8" s="11">
        <v>3</v>
      </c>
      <c r="O8" s="11">
        <v>3</v>
      </c>
      <c r="P8" s="11">
        <v>3</v>
      </c>
      <c r="Q8" s="11">
        <v>2</v>
      </c>
      <c r="R8" s="11">
        <v>1</v>
      </c>
      <c r="S8" s="11">
        <v>1</v>
      </c>
      <c r="T8" s="11">
        <v>1</v>
      </c>
      <c r="U8" s="11">
        <v>2</v>
      </c>
      <c r="V8" s="11">
        <v>1</v>
      </c>
      <c r="W8" s="11">
        <v>2</v>
      </c>
      <c r="X8" s="11">
        <v>2</v>
      </c>
      <c r="Y8" s="11">
        <v>2</v>
      </c>
      <c r="Z8" s="4">
        <f t="shared" si="0"/>
        <v>2.4</v>
      </c>
      <c r="AA8" s="4">
        <f t="shared" si="1"/>
        <v>1.25</v>
      </c>
      <c r="AB8" s="4">
        <f t="shared" si="2"/>
        <v>2.8</v>
      </c>
      <c r="AC8" s="4">
        <f t="shared" si="3"/>
        <v>1.6</v>
      </c>
      <c r="AD8" s="4">
        <f t="shared" si="4"/>
        <v>1.8</v>
      </c>
      <c r="AE8" s="4">
        <f t="shared" si="5"/>
        <v>1.97</v>
      </c>
      <c r="AF8" s="1" t="str">
        <f t="shared" si="6"/>
        <v>Complete</v>
      </c>
      <c r="AG8" s="3"/>
    </row>
    <row r="9" spans="1:33" ht="22.95" customHeight="1" thickBot="1">
      <c r="A9" s="1" t="s">
        <v>66</v>
      </c>
      <c r="B9" s="10">
        <v>3</v>
      </c>
      <c r="C9" s="11">
        <v>3</v>
      </c>
      <c r="D9" s="11">
        <v>2</v>
      </c>
      <c r="E9" s="11">
        <v>2</v>
      </c>
      <c r="F9" s="11">
        <v>2</v>
      </c>
      <c r="G9" s="11">
        <v>1</v>
      </c>
      <c r="H9" s="11">
        <v>2</v>
      </c>
      <c r="I9" s="11">
        <v>1</v>
      </c>
      <c r="J9" s="11">
        <v>2</v>
      </c>
      <c r="K9" s="11">
        <v>3</v>
      </c>
      <c r="L9" s="11">
        <v>3</v>
      </c>
      <c r="M9" s="11">
        <v>3</v>
      </c>
      <c r="N9" s="11">
        <v>4</v>
      </c>
      <c r="O9" s="11">
        <v>4</v>
      </c>
      <c r="P9" s="11">
        <v>4</v>
      </c>
      <c r="Q9" s="11">
        <v>3</v>
      </c>
      <c r="R9" s="11">
        <v>2</v>
      </c>
      <c r="S9" s="11">
        <v>2</v>
      </c>
      <c r="T9" s="11">
        <v>2</v>
      </c>
      <c r="U9" s="11">
        <v>2</v>
      </c>
      <c r="V9" s="11">
        <v>2</v>
      </c>
      <c r="W9" s="11">
        <v>2</v>
      </c>
      <c r="X9" s="11">
        <v>2</v>
      </c>
      <c r="Y9" s="11">
        <v>2</v>
      </c>
      <c r="Z9" s="4">
        <f t="shared" si="0"/>
        <v>2.4</v>
      </c>
      <c r="AA9" s="4">
        <f t="shared" si="1"/>
        <v>1.5</v>
      </c>
      <c r="AB9" s="4">
        <f t="shared" si="2"/>
        <v>3.4</v>
      </c>
      <c r="AC9" s="4">
        <f t="shared" si="3"/>
        <v>2.6</v>
      </c>
      <c r="AD9" s="4">
        <f t="shared" si="4"/>
        <v>2</v>
      </c>
      <c r="AE9" s="4">
        <f t="shared" si="5"/>
        <v>2.38</v>
      </c>
      <c r="AF9" s="1" t="str">
        <f t="shared" si="6"/>
        <v>Complete</v>
      </c>
      <c r="AG9" s="3"/>
    </row>
    <row r="10" spans="1:33" ht="22.95" customHeight="1" thickBot="1">
      <c r="A10" s="1" t="s">
        <v>67</v>
      </c>
      <c r="B10" s="10">
        <v>3</v>
      </c>
      <c r="C10" s="11">
        <v>3</v>
      </c>
      <c r="D10" s="11">
        <v>3</v>
      </c>
      <c r="E10" s="11">
        <v>3</v>
      </c>
      <c r="F10" s="11">
        <v>3</v>
      </c>
      <c r="G10" s="11">
        <v>2</v>
      </c>
      <c r="H10" s="11">
        <v>2</v>
      </c>
      <c r="I10" s="11">
        <v>2</v>
      </c>
      <c r="J10" s="11">
        <v>2</v>
      </c>
      <c r="K10" s="11">
        <v>2</v>
      </c>
      <c r="L10" s="11">
        <v>2</v>
      </c>
      <c r="M10" s="11">
        <v>2</v>
      </c>
      <c r="N10" s="11">
        <v>3</v>
      </c>
      <c r="O10" s="11">
        <v>2</v>
      </c>
      <c r="P10" s="11">
        <v>2</v>
      </c>
      <c r="Q10" s="11">
        <v>2</v>
      </c>
      <c r="R10" s="11">
        <v>2</v>
      </c>
      <c r="S10" s="11">
        <v>2</v>
      </c>
      <c r="T10" s="11">
        <v>2</v>
      </c>
      <c r="U10" s="11">
        <v>2</v>
      </c>
      <c r="V10" s="11">
        <v>2</v>
      </c>
      <c r="W10" s="11">
        <v>2</v>
      </c>
      <c r="X10" s="11">
        <v>2</v>
      </c>
      <c r="Y10" s="11">
        <v>2</v>
      </c>
      <c r="Z10" s="4">
        <f t="shared" si="0"/>
        <v>3</v>
      </c>
      <c r="AA10" s="4">
        <f t="shared" si="1"/>
        <v>2</v>
      </c>
      <c r="AB10" s="4">
        <f t="shared" si="2"/>
        <v>2.2000000000000002</v>
      </c>
      <c r="AC10" s="4">
        <f t="shared" si="3"/>
        <v>2</v>
      </c>
      <c r="AD10" s="4">
        <f t="shared" si="4"/>
        <v>2</v>
      </c>
      <c r="AE10" s="4">
        <f t="shared" si="5"/>
        <v>2.2399999999999998</v>
      </c>
      <c r="AF10" s="1" t="str">
        <f t="shared" si="6"/>
        <v>Complete</v>
      </c>
      <c r="AG10" s="3"/>
    </row>
    <row r="11" spans="1:33" ht="22.95" customHeight="1" thickBot="1">
      <c r="A11" s="1" t="s">
        <v>68</v>
      </c>
      <c r="B11" s="10">
        <v>2</v>
      </c>
      <c r="C11" s="11">
        <v>2</v>
      </c>
      <c r="D11" s="11">
        <v>4</v>
      </c>
      <c r="E11" s="11">
        <v>2</v>
      </c>
      <c r="F11" s="11">
        <v>4</v>
      </c>
      <c r="G11" s="11">
        <v>3</v>
      </c>
      <c r="H11" s="11">
        <v>2</v>
      </c>
      <c r="I11" s="11">
        <v>1</v>
      </c>
      <c r="J11" s="11">
        <v>2</v>
      </c>
      <c r="K11" s="11">
        <v>4</v>
      </c>
      <c r="L11" s="11">
        <v>3</v>
      </c>
      <c r="M11" s="11">
        <v>2</v>
      </c>
      <c r="N11" s="11">
        <v>3</v>
      </c>
      <c r="O11" s="11">
        <v>3</v>
      </c>
      <c r="P11" s="11">
        <v>2</v>
      </c>
      <c r="Q11" s="11">
        <v>2</v>
      </c>
      <c r="R11" s="11">
        <v>2</v>
      </c>
      <c r="S11" s="11">
        <v>1</v>
      </c>
      <c r="T11" s="11">
        <v>2</v>
      </c>
      <c r="U11" s="11">
        <v>2</v>
      </c>
      <c r="V11" s="11">
        <v>2</v>
      </c>
      <c r="W11" s="11">
        <v>2</v>
      </c>
      <c r="X11" s="11">
        <v>2</v>
      </c>
      <c r="Y11" s="11">
        <v>2</v>
      </c>
      <c r="Z11" s="4">
        <f t="shared" si="0"/>
        <v>2.8</v>
      </c>
      <c r="AA11" s="4">
        <f t="shared" si="1"/>
        <v>2</v>
      </c>
      <c r="AB11" s="4">
        <f t="shared" si="2"/>
        <v>3</v>
      </c>
      <c r="AC11" s="4">
        <f t="shared" si="3"/>
        <v>1.8</v>
      </c>
      <c r="AD11" s="4">
        <f t="shared" si="4"/>
        <v>2</v>
      </c>
      <c r="AE11" s="4">
        <f t="shared" si="5"/>
        <v>2.3199999999999998</v>
      </c>
      <c r="AF11" s="1" t="str">
        <f t="shared" si="6"/>
        <v>Complete</v>
      </c>
      <c r="AG11" s="3"/>
    </row>
    <row r="12" spans="1:33" ht="22.95" customHeight="1" thickBot="1">
      <c r="A12" s="1" t="s">
        <v>69</v>
      </c>
      <c r="B12" s="10">
        <v>3</v>
      </c>
      <c r="C12" s="11">
        <v>4</v>
      </c>
      <c r="D12" s="11">
        <v>3</v>
      </c>
      <c r="E12" s="11">
        <v>3</v>
      </c>
      <c r="F12" s="11">
        <v>4</v>
      </c>
      <c r="G12" s="11">
        <v>2</v>
      </c>
      <c r="H12" s="11">
        <v>2</v>
      </c>
      <c r="I12" s="11">
        <v>2</v>
      </c>
      <c r="J12" s="11">
        <v>2</v>
      </c>
      <c r="K12" s="11">
        <v>3</v>
      </c>
      <c r="L12" s="11">
        <v>4</v>
      </c>
      <c r="M12" s="11">
        <v>3</v>
      </c>
      <c r="N12" s="11">
        <v>4</v>
      </c>
      <c r="O12" s="11">
        <v>3</v>
      </c>
      <c r="P12" s="11">
        <v>2</v>
      </c>
      <c r="Q12" s="11">
        <v>3</v>
      </c>
      <c r="R12" s="11">
        <v>3</v>
      </c>
      <c r="S12" s="11">
        <v>2</v>
      </c>
      <c r="T12" s="11">
        <v>3</v>
      </c>
      <c r="U12" s="11">
        <v>2</v>
      </c>
      <c r="V12" s="11">
        <v>3</v>
      </c>
      <c r="W12" s="11">
        <v>2</v>
      </c>
      <c r="X12" s="11">
        <v>3</v>
      </c>
      <c r="Y12" s="11">
        <v>2</v>
      </c>
      <c r="Z12" s="4">
        <f t="shared" si="0"/>
        <v>3.4</v>
      </c>
      <c r="AA12" s="4">
        <f t="shared" si="1"/>
        <v>2</v>
      </c>
      <c r="AB12" s="4">
        <f t="shared" si="2"/>
        <v>3.4</v>
      </c>
      <c r="AC12" s="4">
        <f t="shared" si="3"/>
        <v>2.6</v>
      </c>
      <c r="AD12" s="4">
        <f t="shared" si="4"/>
        <v>2.4</v>
      </c>
      <c r="AE12" s="4">
        <f t="shared" si="5"/>
        <v>2.7600000000000002</v>
      </c>
      <c r="AF12" s="1" t="str">
        <f t="shared" si="6"/>
        <v>Complete</v>
      </c>
      <c r="AG12" s="3"/>
    </row>
    <row r="13" spans="1:33" ht="22.95" customHeight="1" thickBot="1">
      <c r="A13" s="1" t="s">
        <v>70</v>
      </c>
      <c r="B13" s="10">
        <v>4</v>
      </c>
      <c r="C13" s="11">
        <v>2</v>
      </c>
      <c r="D13" s="11">
        <v>2</v>
      </c>
      <c r="E13" s="11">
        <v>2</v>
      </c>
      <c r="F13" s="11">
        <v>2</v>
      </c>
      <c r="G13" s="11">
        <v>1</v>
      </c>
      <c r="H13" s="11">
        <v>1</v>
      </c>
      <c r="I13" s="11">
        <v>2</v>
      </c>
      <c r="J13" s="11">
        <v>1</v>
      </c>
      <c r="K13" s="11">
        <v>3</v>
      </c>
      <c r="L13" s="11">
        <v>3</v>
      </c>
      <c r="M13" s="11">
        <v>2</v>
      </c>
      <c r="N13" s="11">
        <v>4</v>
      </c>
      <c r="O13" s="11">
        <v>4</v>
      </c>
      <c r="P13" s="11">
        <v>3</v>
      </c>
      <c r="Q13" s="11">
        <v>2</v>
      </c>
      <c r="R13" s="11">
        <v>3</v>
      </c>
      <c r="S13" s="11">
        <v>2</v>
      </c>
      <c r="T13" s="11">
        <v>2</v>
      </c>
      <c r="U13" s="11">
        <v>3</v>
      </c>
      <c r="V13" s="11">
        <v>4</v>
      </c>
      <c r="W13" s="11">
        <v>3</v>
      </c>
      <c r="X13" s="11">
        <v>3</v>
      </c>
      <c r="Y13" s="11">
        <v>2</v>
      </c>
      <c r="Z13" s="4">
        <f t="shared" si="0"/>
        <v>2.4</v>
      </c>
      <c r="AA13" s="4">
        <f t="shared" si="1"/>
        <v>1.25</v>
      </c>
      <c r="AB13" s="4">
        <f t="shared" si="2"/>
        <v>3.2</v>
      </c>
      <c r="AC13" s="4">
        <f t="shared" si="3"/>
        <v>2.4</v>
      </c>
      <c r="AD13" s="4">
        <f t="shared" si="4"/>
        <v>3</v>
      </c>
      <c r="AE13" s="4">
        <f t="shared" si="5"/>
        <v>2.4500000000000002</v>
      </c>
      <c r="AF13" s="1" t="str">
        <f t="shared" si="6"/>
        <v>Complete</v>
      </c>
      <c r="AG13" s="3"/>
    </row>
    <row r="14" spans="1:33" ht="22.95" customHeight="1" thickBot="1">
      <c r="A14" s="1" t="s">
        <v>71</v>
      </c>
      <c r="B14" s="10">
        <v>4</v>
      </c>
      <c r="C14" s="11">
        <v>4</v>
      </c>
      <c r="D14" s="11">
        <v>3</v>
      </c>
      <c r="E14" s="11">
        <v>3</v>
      </c>
      <c r="F14" s="11">
        <v>4</v>
      </c>
      <c r="G14" s="11">
        <v>2</v>
      </c>
      <c r="H14" s="11">
        <v>2</v>
      </c>
      <c r="I14" s="11">
        <v>2</v>
      </c>
      <c r="J14" s="11">
        <v>2</v>
      </c>
      <c r="K14" s="11">
        <v>4</v>
      </c>
      <c r="L14" s="11">
        <v>3</v>
      </c>
      <c r="M14" s="11">
        <v>2</v>
      </c>
      <c r="N14" s="11">
        <v>4</v>
      </c>
      <c r="O14" s="11">
        <v>1</v>
      </c>
      <c r="P14" s="11">
        <v>3</v>
      </c>
      <c r="Q14" s="11">
        <v>1</v>
      </c>
      <c r="R14" s="11">
        <v>4</v>
      </c>
      <c r="S14" s="11">
        <v>1</v>
      </c>
      <c r="T14" s="11">
        <v>3</v>
      </c>
      <c r="U14" s="11">
        <v>1</v>
      </c>
      <c r="V14" s="11">
        <v>1</v>
      </c>
      <c r="W14" s="11">
        <v>1</v>
      </c>
      <c r="X14" s="11">
        <v>1</v>
      </c>
      <c r="Y14" s="11">
        <v>1</v>
      </c>
      <c r="Z14" s="4">
        <f t="shared" si="0"/>
        <v>3.6</v>
      </c>
      <c r="AA14" s="4">
        <f t="shared" si="1"/>
        <v>2</v>
      </c>
      <c r="AB14" s="4">
        <f t="shared" si="2"/>
        <v>2.8</v>
      </c>
      <c r="AC14" s="4">
        <f t="shared" si="3"/>
        <v>2.4</v>
      </c>
      <c r="AD14" s="4">
        <f t="shared" si="4"/>
        <v>1</v>
      </c>
      <c r="AE14" s="4">
        <f t="shared" si="5"/>
        <v>2.36</v>
      </c>
      <c r="AF14" s="1" t="str">
        <f t="shared" si="6"/>
        <v>Complete</v>
      </c>
      <c r="AG14" s="3"/>
    </row>
    <row r="15" spans="1:33" ht="22.95" customHeight="1" thickBot="1">
      <c r="A15" s="1" t="s">
        <v>72</v>
      </c>
      <c r="B15" s="10">
        <v>2</v>
      </c>
      <c r="C15" s="11">
        <v>3</v>
      </c>
      <c r="D15" s="11">
        <v>3</v>
      </c>
      <c r="E15" s="11">
        <v>2</v>
      </c>
      <c r="F15" s="11">
        <v>3</v>
      </c>
      <c r="G15" s="11">
        <v>1</v>
      </c>
      <c r="H15" s="11">
        <v>1</v>
      </c>
      <c r="I15" s="11">
        <v>1</v>
      </c>
      <c r="J15" s="11">
        <v>1</v>
      </c>
      <c r="K15" s="11">
        <v>2</v>
      </c>
      <c r="L15" s="11">
        <v>3</v>
      </c>
      <c r="M15" s="11">
        <v>3</v>
      </c>
      <c r="N15" s="11">
        <v>3</v>
      </c>
      <c r="O15" s="11">
        <v>3</v>
      </c>
      <c r="P15" s="11">
        <v>2</v>
      </c>
      <c r="Q15" s="11">
        <v>3</v>
      </c>
      <c r="R15" s="11">
        <v>2</v>
      </c>
      <c r="S15" s="11">
        <v>2</v>
      </c>
      <c r="T15" s="11">
        <v>2</v>
      </c>
      <c r="U15" s="11">
        <v>1</v>
      </c>
      <c r="V15" s="11">
        <v>2</v>
      </c>
      <c r="W15" s="11">
        <v>1</v>
      </c>
      <c r="X15" s="11">
        <v>1</v>
      </c>
      <c r="Y15" s="11">
        <v>1</v>
      </c>
      <c r="Z15" s="4">
        <f t="shared" si="0"/>
        <v>2.6</v>
      </c>
      <c r="AA15" s="4">
        <f t="shared" si="1"/>
        <v>1</v>
      </c>
      <c r="AB15" s="4">
        <f t="shared" si="2"/>
        <v>2.8</v>
      </c>
      <c r="AC15" s="4">
        <f t="shared" si="3"/>
        <v>2.2000000000000002</v>
      </c>
      <c r="AD15" s="4">
        <f t="shared" si="4"/>
        <v>1.2</v>
      </c>
      <c r="AE15" s="4">
        <f t="shared" si="5"/>
        <v>1.9600000000000002</v>
      </c>
      <c r="AF15" s="1" t="str">
        <f t="shared" si="6"/>
        <v>Complete</v>
      </c>
      <c r="AG15" s="3"/>
    </row>
    <row r="16" spans="1:33" ht="22.95" customHeight="1" thickBot="1">
      <c r="A16" s="1" t="s">
        <v>73</v>
      </c>
      <c r="B16" s="10">
        <v>3</v>
      </c>
      <c r="C16" s="11">
        <v>2</v>
      </c>
      <c r="D16" s="11">
        <v>1</v>
      </c>
      <c r="E16" s="11">
        <v>1</v>
      </c>
      <c r="F16" s="11">
        <v>2</v>
      </c>
      <c r="G16" s="11">
        <v>2</v>
      </c>
      <c r="H16" s="11">
        <v>1</v>
      </c>
      <c r="I16" s="11">
        <v>2</v>
      </c>
      <c r="J16" s="11">
        <v>2</v>
      </c>
      <c r="K16" s="11">
        <v>1</v>
      </c>
      <c r="L16" s="11">
        <v>2</v>
      </c>
      <c r="M16" s="11">
        <v>1</v>
      </c>
      <c r="N16" s="11">
        <v>1</v>
      </c>
      <c r="O16" s="11">
        <v>1</v>
      </c>
      <c r="P16" s="11">
        <v>2</v>
      </c>
      <c r="Q16" s="11">
        <v>1</v>
      </c>
      <c r="R16" s="11">
        <v>1</v>
      </c>
      <c r="S16" s="11">
        <v>2</v>
      </c>
      <c r="T16" s="11">
        <v>2</v>
      </c>
      <c r="U16" s="11">
        <v>2</v>
      </c>
      <c r="V16" s="11">
        <v>1</v>
      </c>
      <c r="W16" s="11">
        <v>1</v>
      </c>
      <c r="X16" s="11">
        <v>1</v>
      </c>
      <c r="Y16" s="11">
        <v>1</v>
      </c>
      <c r="Z16" s="4">
        <f t="shared" si="0"/>
        <v>1.8</v>
      </c>
      <c r="AA16" s="4">
        <f t="shared" si="1"/>
        <v>1.75</v>
      </c>
      <c r="AB16" s="4">
        <f t="shared" si="2"/>
        <v>1.2</v>
      </c>
      <c r="AC16" s="4">
        <f t="shared" si="3"/>
        <v>1.6</v>
      </c>
      <c r="AD16" s="4">
        <f t="shared" si="4"/>
        <v>1.2</v>
      </c>
      <c r="AE16" s="4">
        <f t="shared" si="5"/>
        <v>1.51</v>
      </c>
      <c r="AF16" s="1" t="str">
        <f t="shared" si="6"/>
        <v>Complete</v>
      </c>
      <c r="AG16" s="3"/>
    </row>
    <row r="17" spans="1:33" ht="22.95" customHeight="1" thickBot="1">
      <c r="A17" s="1" t="s">
        <v>74</v>
      </c>
      <c r="B17" s="10">
        <v>4</v>
      </c>
      <c r="C17" s="11">
        <v>4</v>
      </c>
      <c r="D17" s="11">
        <v>4</v>
      </c>
      <c r="E17" s="11">
        <v>3</v>
      </c>
      <c r="F17" s="11">
        <v>4</v>
      </c>
      <c r="G17" s="11">
        <v>4</v>
      </c>
      <c r="H17" s="11">
        <v>4</v>
      </c>
      <c r="I17" s="11">
        <v>4</v>
      </c>
      <c r="J17" s="11">
        <v>4</v>
      </c>
      <c r="K17" s="11">
        <v>3</v>
      </c>
      <c r="L17" s="11">
        <v>4</v>
      </c>
      <c r="M17" s="11">
        <v>3</v>
      </c>
      <c r="N17" s="11">
        <v>2</v>
      </c>
      <c r="O17" s="11">
        <v>3</v>
      </c>
      <c r="P17" s="11">
        <v>4</v>
      </c>
      <c r="Q17" s="11">
        <v>4</v>
      </c>
      <c r="R17" s="11">
        <v>3</v>
      </c>
      <c r="S17" s="11">
        <v>4</v>
      </c>
      <c r="T17" s="11">
        <v>3</v>
      </c>
      <c r="U17" s="11">
        <v>3</v>
      </c>
      <c r="V17" s="11">
        <v>2</v>
      </c>
      <c r="W17" s="11">
        <v>3</v>
      </c>
      <c r="X17" s="11">
        <v>3</v>
      </c>
      <c r="Y17" s="11">
        <v>4</v>
      </c>
      <c r="Z17" s="4">
        <f t="shared" si="0"/>
        <v>3.8</v>
      </c>
      <c r="AA17" s="4">
        <f t="shared" si="1"/>
        <v>4</v>
      </c>
      <c r="AB17" s="4">
        <f t="shared" si="2"/>
        <v>3</v>
      </c>
      <c r="AC17" s="4">
        <f t="shared" si="3"/>
        <v>3.6</v>
      </c>
      <c r="AD17" s="4">
        <f t="shared" si="4"/>
        <v>3</v>
      </c>
      <c r="AE17" s="4">
        <f t="shared" si="5"/>
        <v>3.4799999999999995</v>
      </c>
      <c r="AF17" s="1" t="str">
        <f t="shared" si="6"/>
        <v>Complete</v>
      </c>
      <c r="AG17" s="3"/>
    </row>
    <row r="18" spans="1:33" ht="22.95" customHeight="1" thickBot="1">
      <c r="A18" s="1" t="s">
        <v>75</v>
      </c>
      <c r="B18" s="10">
        <v>3</v>
      </c>
      <c r="C18" s="11">
        <v>3</v>
      </c>
      <c r="D18" s="11">
        <v>2</v>
      </c>
      <c r="E18" s="11">
        <v>3</v>
      </c>
      <c r="F18" s="11">
        <v>2</v>
      </c>
      <c r="G18" s="11">
        <v>2</v>
      </c>
      <c r="H18" s="11">
        <v>1</v>
      </c>
      <c r="I18" s="11">
        <v>1</v>
      </c>
      <c r="J18" s="11">
        <v>3</v>
      </c>
      <c r="K18" s="11">
        <v>3</v>
      </c>
      <c r="L18" s="11">
        <v>3</v>
      </c>
      <c r="M18" s="11">
        <v>3</v>
      </c>
      <c r="N18" s="11">
        <v>3</v>
      </c>
      <c r="O18" s="11">
        <v>3</v>
      </c>
      <c r="P18" s="11">
        <v>2</v>
      </c>
      <c r="Q18" s="11">
        <v>2</v>
      </c>
      <c r="R18" s="11">
        <v>3</v>
      </c>
      <c r="S18" s="11">
        <v>2</v>
      </c>
      <c r="T18" s="11">
        <v>2</v>
      </c>
      <c r="U18" s="11">
        <v>2</v>
      </c>
      <c r="V18" s="11">
        <v>2</v>
      </c>
      <c r="W18" s="11">
        <v>2</v>
      </c>
      <c r="X18" s="11">
        <v>1</v>
      </c>
      <c r="Y18" s="11">
        <v>2</v>
      </c>
      <c r="Z18" s="4">
        <f t="shared" si="0"/>
        <v>2.6</v>
      </c>
      <c r="AA18" s="4">
        <f t="shared" si="1"/>
        <v>1.75</v>
      </c>
      <c r="AB18" s="4">
        <f t="shared" si="2"/>
        <v>3</v>
      </c>
      <c r="AC18" s="4">
        <f t="shared" si="3"/>
        <v>2.2000000000000002</v>
      </c>
      <c r="AD18" s="4">
        <f t="shared" si="4"/>
        <v>1.8</v>
      </c>
      <c r="AE18" s="4">
        <f t="shared" si="5"/>
        <v>2.2700000000000005</v>
      </c>
      <c r="AF18" s="1" t="str">
        <f t="shared" si="6"/>
        <v>Complete</v>
      </c>
      <c r="AG18" s="3"/>
    </row>
    <row r="19" spans="1:33" ht="22.95" customHeight="1" thickBot="1">
      <c r="A19" s="1" t="s">
        <v>76</v>
      </c>
      <c r="B19" s="10">
        <v>2</v>
      </c>
      <c r="C19" s="11">
        <v>2</v>
      </c>
      <c r="D19" s="11">
        <v>2</v>
      </c>
      <c r="E19" s="11">
        <v>2</v>
      </c>
      <c r="F19" s="11">
        <v>2</v>
      </c>
      <c r="G19" s="11">
        <v>3</v>
      </c>
      <c r="H19" s="11">
        <v>3</v>
      </c>
      <c r="I19" s="11">
        <v>3</v>
      </c>
      <c r="J19" s="11">
        <v>3</v>
      </c>
      <c r="K19" s="11">
        <v>2</v>
      </c>
      <c r="L19" s="11">
        <v>2</v>
      </c>
      <c r="M19" s="11">
        <v>2</v>
      </c>
      <c r="N19" s="11">
        <v>2</v>
      </c>
      <c r="O19" s="11">
        <v>2</v>
      </c>
      <c r="P19" s="11">
        <v>2</v>
      </c>
      <c r="Q19" s="11">
        <v>3</v>
      </c>
      <c r="R19" s="11">
        <v>2</v>
      </c>
      <c r="S19" s="11">
        <v>2</v>
      </c>
      <c r="T19" s="11">
        <v>2</v>
      </c>
      <c r="U19" s="11">
        <v>3</v>
      </c>
      <c r="V19" s="11">
        <v>2</v>
      </c>
      <c r="W19" s="11">
        <v>3</v>
      </c>
      <c r="X19" s="11">
        <v>3</v>
      </c>
      <c r="Y19" s="11">
        <v>2</v>
      </c>
      <c r="Z19" s="4">
        <f t="shared" si="0"/>
        <v>2</v>
      </c>
      <c r="AA19" s="4">
        <f t="shared" si="1"/>
        <v>3</v>
      </c>
      <c r="AB19" s="4">
        <f t="shared" si="2"/>
        <v>2</v>
      </c>
      <c r="AC19" s="4">
        <f t="shared" si="3"/>
        <v>2.2000000000000002</v>
      </c>
      <c r="AD19" s="4">
        <f t="shared" si="4"/>
        <v>2.6</v>
      </c>
      <c r="AE19" s="4">
        <f t="shared" si="5"/>
        <v>2.36</v>
      </c>
      <c r="AF19" s="1" t="str">
        <f t="shared" si="6"/>
        <v>Complete</v>
      </c>
      <c r="AG19" s="3"/>
    </row>
    <row r="20" spans="1:33" ht="22.95" customHeight="1" thickBot="1">
      <c r="A20" s="1" t="s">
        <v>77</v>
      </c>
      <c r="B20" s="10">
        <v>4</v>
      </c>
      <c r="C20" s="11">
        <v>4</v>
      </c>
      <c r="D20" s="11">
        <v>4</v>
      </c>
      <c r="E20" s="11">
        <v>4</v>
      </c>
      <c r="F20" s="11">
        <v>4</v>
      </c>
      <c r="G20" s="11">
        <v>4</v>
      </c>
      <c r="H20" s="11">
        <v>4</v>
      </c>
      <c r="I20" s="11">
        <v>4</v>
      </c>
      <c r="J20" s="11">
        <v>4</v>
      </c>
      <c r="K20" s="11">
        <v>4</v>
      </c>
      <c r="L20" s="11">
        <v>4</v>
      </c>
      <c r="M20" s="11">
        <v>4</v>
      </c>
      <c r="N20" s="11">
        <v>4</v>
      </c>
      <c r="O20" s="11">
        <v>4</v>
      </c>
      <c r="P20" s="11">
        <v>4</v>
      </c>
      <c r="Q20" s="11">
        <v>4</v>
      </c>
      <c r="R20" s="11">
        <v>4</v>
      </c>
      <c r="S20" s="11">
        <v>4</v>
      </c>
      <c r="T20" s="11">
        <v>4</v>
      </c>
      <c r="U20" s="11">
        <v>4</v>
      </c>
      <c r="V20" s="11">
        <v>4</v>
      </c>
      <c r="W20" s="11">
        <v>4</v>
      </c>
      <c r="X20" s="11">
        <v>4</v>
      </c>
      <c r="Y20" s="11">
        <v>4</v>
      </c>
      <c r="Z20" s="4">
        <f t="shared" si="0"/>
        <v>4</v>
      </c>
      <c r="AA20" s="4">
        <f t="shared" si="1"/>
        <v>4</v>
      </c>
      <c r="AB20" s="4">
        <f t="shared" si="2"/>
        <v>4</v>
      </c>
      <c r="AC20" s="4">
        <f t="shared" si="3"/>
        <v>4</v>
      </c>
      <c r="AD20" s="4">
        <f t="shared" si="4"/>
        <v>4</v>
      </c>
      <c r="AE20" s="4">
        <f t="shared" si="5"/>
        <v>4</v>
      </c>
      <c r="AF20" s="1" t="str">
        <f t="shared" si="6"/>
        <v>Complete</v>
      </c>
      <c r="AG20" s="3"/>
    </row>
    <row r="21" spans="1:33" ht="22.95" customHeight="1" thickBot="1">
      <c r="A21" s="1" t="s">
        <v>78</v>
      </c>
      <c r="B21" s="10">
        <v>4</v>
      </c>
      <c r="C21" s="11">
        <v>4</v>
      </c>
      <c r="D21" s="11">
        <v>4</v>
      </c>
      <c r="E21" s="11">
        <v>4</v>
      </c>
      <c r="F21" s="11">
        <v>4</v>
      </c>
      <c r="G21" s="11">
        <v>4</v>
      </c>
      <c r="H21" s="11">
        <v>4</v>
      </c>
      <c r="I21" s="11">
        <v>4</v>
      </c>
      <c r="J21" s="11">
        <v>4</v>
      </c>
      <c r="K21" s="11">
        <v>4</v>
      </c>
      <c r="L21" s="11">
        <v>4</v>
      </c>
      <c r="M21" s="11">
        <v>4</v>
      </c>
      <c r="N21" s="11">
        <v>4</v>
      </c>
      <c r="O21" s="11">
        <v>4</v>
      </c>
      <c r="P21" s="11">
        <v>4</v>
      </c>
      <c r="Q21" s="11">
        <v>4</v>
      </c>
      <c r="R21" s="11">
        <v>4</v>
      </c>
      <c r="S21" s="11">
        <v>4</v>
      </c>
      <c r="T21" s="11">
        <v>4</v>
      </c>
      <c r="U21" s="11">
        <v>4</v>
      </c>
      <c r="V21" s="11">
        <v>4</v>
      </c>
      <c r="W21" s="11">
        <v>4</v>
      </c>
      <c r="X21" s="11">
        <v>4</v>
      </c>
      <c r="Y21" s="11">
        <v>4</v>
      </c>
      <c r="Z21" s="4">
        <f t="shared" si="0"/>
        <v>4</v>
      </c>
      <c r="AA21" s="4">
        <f t="shared" si="1"/>
        <v>4</v>
      </c>
      <c r="AB21" s="4">
        <f t="shared" si="2"/>
        <v>4</v>
      </c>
      <c r="AC21" s="4">
        <f t="shared" si="3"/>
        <v>4</v>
      </c>
      <c r="AD21" s="4">
        <f t="shared" si="4"/>
        <v>4</v>
      </c>
      <c r="AE21" s="4">
        <f t="shared" si="5"/>
        <v>4</v>
      </c>
      <c r="AF21" s="1" t="str">
        <f t="shared" si="6"/>
        <v>Complete</v>
      </c>
      <c r="AG21" s="3"/>
    </row>
    <row r="22" spans="1:33" ht="22.95" customHeight="1" thickBot="1">
      <c r="A22" s="1" t="s">
        <v>79</v>
      </c>
      <c r="B22" s="10">
        <v>4</v>
      </c>
      <c r="C22" s="11">
        <v>4</v>
      </c>
      <c r="D22" s="11">
        <v>4</v>
      </c>
      <c r="E22" s="11">
        <v>4</v>
      </c>
      <c r="F22" s="11">
        <v>4</v>
      </c>
      <c r="G22" s="11">
        <v>4</v>
      </c>
      <c r="H22" s="11">
        <v>3</v>
      </c>
      <c r="I22" s="11">
        <v>4</v>
      </c>
      <c r="J22" s="11">
        <v>4</v>
      </c>
      <c r="K22" s="11">
        <v>3</v>
      </c>
      <c r="L22" s="11">
        <v>4</v>
      </c>
      <c r="M22" s="11">
        <v>4</v>
      </c>
      <c r="N22" s="11">
        <v>3</v>
      </c>
      <c r="O22" s="11">
        <v>3</v>
      </c>
      <c r="P22" s="11">
        <v>4</v>
      </c>
      <c r="Q22" s="11">
        <v>4</v>
      </c>
      <c r="R22" s="11">
        <v>4</v>
      </c>
      <c r="S22" s="11">
        <v>4</v>
      </c>
      <c r="T22" s="11">
        <v>4</v>
      </c>
      <c r="U22" s="11">
        <v>4</v>
      </c>
      <c r="V22" s="11">
        <v>4</v>
      </c>
      <c r="W22" s="11">
        <v>4</v>
      </c>
      <c r="X22" s="11">
        <v>4</v>
      </c>
      <c r="Y22" s="11">
        <v>4</v>
      </c>
      <c r="Z22" s="4">
        <f t="shared" si="0"/>
        <v>4</v>
      </c>
      <c r="AA22" s="4">
        <f t="shared" si="1"/>
        <v>3.75</v>
      </c>
      <c r="AB22" s="4">
        <f t="shared" si="2"/>
        <v>3.4</v>
      </c>
      <c r="AC22" s="4">
        <f t="shared" si="3"/>
        <v>4</v>
      </c>
      <c r="AD22" s="4">
        <f t="shared" si="4"/>
        <v>4</v>
      </c>
      <c r="AE22" s="4">
        <f t="shared" si="5"/>
        <v>3.8299999999999996</v>
      </c>
      <c r="AF22" s="1" t="str">
        <f t="shared" si="6"/>
        <v>Complete</v>
      </c>
      <c r="AG22" s="3"/>
    </row>
    <row r="23" spans="1:33" ht="22.95" customHeight="1" thickBot="1">
      <c r="A23" s="1" t="s">
        <v>80</v>
      </c>
      <c r="B23" s="10">
        <v>4</v>
      </c>
      <c r="C23" s="11">
        <v>4</v>
      </c>
      <c r="D23" s="11">
        <v>4</v>
      </c>
      <c r="E23" s="11">
        <v>4</v>
      </c>
      <c r="F23" s="11">
        <v>4</v>
      </c>
      <c r="G23" s="11">
        <v>4</v>
      </c>
      <c r="H23" s="11">
        <v>4</v>
      </c>
      <c r="I23" s="11">
        <v>4</v>
      </c>
      <c r="J23" s="11">
        <v>4</v>
      </c>
      <c r="K23" s="11">
        <v>4</v>
      </c>
      <c r="L23" s="11">
        <v>4</v>
      </c>
      <c r="M23" s="11">
        <v>4</v>
      </c>
      <c r="N23" s="11">
        <v>3</v>
      </c>
      <c r="O23" s="11">
        <v>3</v>
      </c>
      <c r="P23" s="11">
        <v>4</v>
      </c>
      <c r="Q23" s="11">
        <v>4</v>
      </c>
      <c r="R23" s="11">
        <v>3</v>
      </c>
      <c r="S23" s="11">
        <v>4</v>
      </c>
      <c r="T23" s="11">
        <v>4</v>
      </c>
      <c r="U23" s="11">
        <v>4</v>
      </c>
      <c r="V23" s="11">
        <v>4</v>
      </c>
      <c r="W23" s="11">
        <v>4</v>
      </c>
      <c r="X23" s="11">
        <v>3</v>
      </c>
      <c r="Y23" s="11">
        <v>4</v>
      </c>
      <c r="Z23" s="4">
        <f t="shared" si="0"/>
        <v>4</v>
      </c>
      <c r="AA23" s="4">
        <f t="shared" si="1"/>
        <v>4</v>
      </c>
      <c r="AB23" s="4">
        <f t="shared" si="2"/>
        <v>3.6</v>
      </c>
      <c r="AC23" s="4">
        <f t="shared" si="3"/>
        <v>3.8</v>
      </c>
      <c r="AD23" s="4">
        <f t="shared" si="4"/>
        <v>3.8</v>
      </c>
      <c r="AE23" s="4">
        <f t="shared" si="5"/>
        <v>3.84</v>
      </c>
      <c r="AF23" s="1" t="str">
        <f t="shared" si="6"/>
        <v>Complete</v>
      </c>
      <c r="AG23" s="3"/>
    </row>
    <row r="24" spans="1:33" ht="22.95" customHeight="1" thickBot="1">
      <c r="A24" s="1" t="s">
        <v>81</v>
      </c>
      <c r="B24" s="10">
        <v>4</v>
      </c>
      <c r="C24" s="11">
        <v>4</v>
      </c>
      <c r="D24" s="11">
        <v>4</v>
      </c>
      <c r="E24" s="11">
        <v>4</v>
      </c>
      <c r="F24" s="11">
        <v>4</v>
      </c>
      <c r="G24" s="11">
        <v>4</v>
      </c>
      <c r="H24" s="11">
        <v>4</v>
      </c>
      <c r="I24" s="11">
        <v>4</v>
      </c>
      <c r="J24" s="11">
        <v>4</v>
      </c>
      <c r="K24" s="11">
        <v>3</v>
      </c>
      <c r="L24" s="11">
        <v>4</v>
      </c>
      <c r="M24" s="11">
        <v>4</v>
      </c>
      <c r="N24" s="11">
        <v>3</v>
      </c>
      <c r="O24" s="11">
        <v>4</v>
      </c>
      <c r="P24" s="11">
        <v>4</v>
      </c>
      <c r="Q24" s="11">
        <v>4</v>
      </c>
      <c r="R24" s="11">
        <v>4</v>
      </c>
      <c r="S24" s="11">
        <v>4</v>
      </c>
      <c r="T24" s="11">
        <v>4</v>
      </c>
      <c r="U24" s="11">
        <v>3</v>
      </c>
      <c r="V24" s="11">
        <v>4</v>
      </c>
      <c r="W24" s="11">
        <v>3</v>
      </c>
      <c r="X24" s="11">
        <v>3</v>
      </c>
      <c r="Y24" s="11">
        <v>4</v>
      </c>
      <c r="Z24" s="4">
        <f t="shared" si="0"/>
        <v>4</v>
      </c>
      <c r="AA24" s="4">
        <f t="shared" si="1"/>
        <v>4</v>
      </c>
      <c r="AB24" s="4">
        <f t="shared" si="2"/>
        <v>3.6</v>
      </c>
      <c r="AC24" s="4">
        <f t="shared" si="3"/>
        <v>4</v>
      </c>
      <c r="AD24" s="4">
        <f t="shared" si="4"/>
        <v>3.4</v>
      </c>
      <c r="AE24" s="4">
        <f t="shared" si="5"/>
        <v>3.8</v>
      </c>
      <c r="AF24" s="1" t="str">
        <f t="shared" si="6"/>
        <v>Complete</v>
      </c>
      <c r="AG24" s="3"/>
    </row>
    <row r="25" spans="1:33" ht="22.95" customHeight="1" thickBot="1">
      <c r="A25" s="1" t="s">
        <v>82</v>
      </c>
      <c r="B25" s="10">
        <v>4</v>
      </c>
      <c r="C25" s="11">
        <v>4</v>
      </c>
      <c r="D25" s="11">
        <v>3</v>
      </c>
      <c r="E25" s="11">
        <v>4</v>
      </c>
      <c r="F25" s="11">
        <v>4</v>
      </c>
      <c r="G25" s="11">
        <v>4</v>
      </c>
      <c r="H25" s="11">
        <v>4</v>
      </c>
      <c r="I25" s="11">
        <v>4</v>
      </c>
      <c r="J25" s="11">
        <v>4</v>
      </c>
      <c r="K25" s="11">
        <v>3</v>
      </c>
      <c r="L25" s="11">
        <v>4</v>
      </c>
      <c r="M25" s="11">
        <v>3</v>
      </c>
      <c r="N25" s="11">
        <v>3</v>
      </c>
      <c r="O25" s="11">
        <v>4</v>
      </c>
      <c r="P25" s="11">
        <v>3</v>
      </c>
      <c r="Q25" s="11">
        <v>4</v>
      </c>
      <c r="R25" s="11">
        <v>4</v>
      </c>
      <c r="S25" s="11">
        <v>4</v>
      </c>
      <c r="T25" s="11">
        <v>4</v>
      </c>
      <c r="U25" s="11">
        <v>4</v>
      </c>
      <c r="V25" s="11">
        <v>4</v>
      </c>
      <c r="W25" s="11">
        <v>4</v>
      </c>
      <c r="X25" s="11">
        <v>4</v>
      </c>
      <c r="Y25" s="11">
        <v>4</v>
      </c>
      <c r="Z25" s="4">
        <f t="shared" si="0"/>
        <v>3.8</v>
      </c>
      <c r="AA25" s="4">
        <f t="shared" si="1"/>
        <v>4</v>
      </c>
      <c r="AB25" s="4">
        <f t="shared" si="2"/>
        <v>3.4</v>
      </c>
      <c r="AC25" s="4">
        <f t="shared" si="3"/>
        <v>3.8</v>
      </c>
      <c r="AD25" s="4">
        <f t="shared" si="4"/>
        <v>4</v>
      </c>
      <c r="AE25" s="4">
        <f t="shared" si="5"/>
        <v>3.8</v>
      </c>
      <c r="AF25" s="1" t="str">
        <f t="shared" si="6"/>
        <v>Complete</v>
      </c>
      <c r="AG25" s="3"/>
    </row>
    <row r="26" spans="1:33" ht="22.95" customHeight="1" thickBot="1">
      <c r="A26" s="1" t="s">
        <v>83</v>
      </c>
      <c r="B26" s="10">
        <v>4</v>
      </c>
      <c r="C26" s="11">
        <v>4</v>
      </c>
      <c r="D26" s="11">
        <v>3</v>
      </c>
      <c r="E26" s="11">
        <v>2</v>
      </c>
      <c r="F26" s="11">
        <v>3</v>
      </c>
      <c r="G26" s="11">
        <v>2</v>
      </c>
      <c r="H26" s="11">
        <v>2</v>
      </c>
      <c r="I26" s="11">
        <v>2</v>
      </c>
      <c r="J26" s="11">
        <v>1</v>
      </c>
      <c r="K26" s="11">
        <v>2</v>
      </c>
      <c r="L26" s="11">
        <v>1</v>
      </c>
      <c r="M26" s="11">
        <v>1</v>
      </c>
      <c r="N26" s="11">
        <v>1</v>
      </c>
      <c r="O26" s="11">
        <v>1</v>
      </c>
      <c r="P26" s="11">
        <v>2</v>
      </c>
      <c r="Q26" s="11">
        <v>4</v>
      </c>
      <c r="R26" s="11">
        <v>3</v>
      </c>
      <c r="S26" s="11">
        <v>2</v>
      </c>
      <c r="T26" s="11">
        <v>3</v>
      </c>
      <c r="U26" s="11">
        <v>2</v>
      </c>
      <c r="V26" s="11">
        <v>3</v>
      </c>
      <c r="W26" s="11">
        <v>2</v>
      </c>
      <c r="X26" s="11">
        <v>3</v>
      </c>
      <c r="Y26" s="11">
        <v>3</v>
      </c>
      <c r="Z26" s="4">
        <f t="shared" si="0"/>
        <v>3.2</v>
      </c>
      <c r="AA26" s="4">
        <f t="shared" si="1"/>
        <v>1.75</v>
      </c>
      <c r="AB26" s="4">
        <f t="shared" si="2"/>
        <v>1.2</v>
      </c>
      <c r="AC26" s="4">
        <f t="shared" si="3"/>
        <v>2.8</v>
      </c>
      <c r="AD26" s="4">
        <f t="shared" si="4"/>
        <v>2.6</v>
      </c>
      <c r="AE26" s="4">
        <f t="shared" si="5"/>
        <v>2.3099999999999996</v>
      </c>
      <c r="AF26" s="1" t="str">
        <f t="shared" si="6"/>
        <v>Complete</v>
      </c>
      <c r="AG26" s="3"/>
    </row>
    <row r="27" spans="1:33" ht="22.95" customHeight="1" thickBot="1">
      <c r="A27" s="1" t="s">
        <v>84</v>
      </c>
      <c r="B27" s="10">
        <v>2</v>
      </c>
      <c r="C27" s="11">
        <v>2</v>
      </c>
      <c r="D27" s="11">
        <v>2</v>
      </c>
      <c r="E27" s="11">
        <v>2</v>
      </c>
      <c r="F27" s="11">
        <v>2</v>
      </c>
      <c r="G27" s="11">
        <v>1</v>
      </c>
      <c r="H27" s="11">
        <v>1</v>
      </c>
      <c r="I27" s="11">
        <v>1</v>
      </c>
      <c r="J27" s="11">
        <v>1</v>
      </c>
      <c r="K27" s="11">
        <v>2</v>
      </c>
      <c r="L27" s="11">
        <v>2</v>
      </c>
      <c r="M27" s="11">
        <v>2</v>
      </c>
      <c r="N27" s="11">
        <v>2</v>
      </c>
      <c r="O27" s="11">
        <v>2</v>
      </c>
      <c r="P27" s="11">
        <v>2</v>
      </c>
      <c r="Q27" s="11">
        <v>3</v>
      </c>
      <c r="R27" s="11">
        <v>2</v>
      </c>
      <c r="S27" s="11">
        <v>2</v>
      </c>
      <c r="T27" s="11">
        <v>2</v>
      </c>
      <c r="U27" s="11">
        <v>2</v>
      </c>
      <c r="V27" s="11">
        <v>2</v>
      </c>
      <c r="W27" s="11">
        <v>2</v>
      </c>
      <c r="X27" s="11">
        <v>2</v>
      </c>
      <c r="Y27" s="11">
        <v>3</v>
      </c>
      <c r="Z27" s="4">
        <f t="shared" si="0"/>
        <v>2</v>
      </c>
      <c r="AA27" s="4">
        <f t="shared" si="1"/>
        <v>1</v>
      </c>
      <c r="AB27" s="4">
        <f t="shared" si="2"/>
        <v>2</v>
      </c>
      <c r="AC27" s="4">
        <f t="shared" si="3"/>
        <v>2.2000000000000002</v>
      </c>
      <c r="AD27" s="4">
        <f t="shared" si="4"/>
        <v>2.2000000000000002</v>
      </c>
      <c r="AE27" s="4">
        <f t="shared" si="5"/>
        <v>1.8800000000000001</v>
      </c>
      <c r="AF27" s="1" t="str">
        <f t="shared" si="6"/>
        <v>Complete</v>
      </c>
      <c r="AG27" s="3"/>
    </row>
    <row r="28" spans="1:33" ht="22.95" customHeight="1" thickBot="1">
      <c r="A28" s="1" t="s">
        <v>85</v>
      </c>
      <c r="B28" s="10">
        <v>3</v>
      </c>
      <c r="C28" s="11">
        <v>4</v>
      </c>
      <c r="D28" s="11">
        <v>2</v>
      </c>
      <c r="E28" s="11">
        <v>2</v>
      </c>
      <c r="F28" s="11">
        <v>3</v>
      </c>
      <c r="G28" s="11">
        <v>2</v>
      </c>
      <c r="H28" s="11">
        <v>1</v>
      </c>
      <c r="I28" s="11">
        <v>1</v>
      </c>
      <c r="J28" s="11">
        <v>1</v>
      </c>
      <c r="K28" s="11">
        <v>4</v>
      </c>
      <c r="L28" s="11">
        <v>3</v>
      </c>
      <c r="M28" s="11">
        <v>2</v>
      </c>
      <c r="N28" s="11">
        <v>3</v>
      </c>
      <c r="O28" s="11">
        <v>3</v>
      </c>
      <c r="P28" s="11">
        <v>2</v>
      </c>
      <c r="Q28" s="11">
        <v>3</v>
      </c>
      <c r="R28" s="11">
        <v>3</v>
      </c>
      <c r="S28" s="11">
        <v>2</v>
      </c>
      <c r="T28" s="11">
        <v>2</v>
      </c>
      <c r="U28" s="11">
        <v>2</v>
      </c>
      <c r="V28" s="11">
        <v>2</v>
      </c>
      <c r="W28" s="11">
        <v>3</v>
      </c>
      <c r="X28" s="11">
        <v>2</v>
      </c>
      <c r="Y28" s="11">
        <v>2</v>
      </c>
      <c r="Z28" s="4">
        <f t="shared" si="0"/>
        <v>2.8</v>
      </c>
      <c r="AA28" s="4">
        <f t="shared" si="1"/>
        <v>1.25</v>
      </c>
      <c r="AB28" s="4">
        <f t="shared" si="2"/>
        <v>3</v>
      </c>
      <c r="AC28" s="4">
        <f t="shared" si="3"/>
        <v>2.4</v>
      </c>
      <c r="AD28" s="4">
        <f t="shared" si="4"/>
        <v>2.2000000000000002</v>
      </c>
      <c r="AE28" s="4">
        <f t="shared" si="5"/>
        <v>2.3299999999999996</v>
      </c>
      <c r="AF28" s="1" t="str">
        <f t="shared" si="6"/>
        <v>Complete</v>
      </c>
      <c r="AG28" s="3"/>
    </row>
    <row r="29" spans="1:33" ht="22.95" customHeight="1" thickBot="1">
      <c r="A29" s="1" t="s">
        <v>86</v>
      </c>
      <c r="B29" s="10">
        <v>4</v>
      </c>
      <c r="C29" s="11">
        <v>2</v>
      </c>
      <c r="D29" s="11">
        <v>4</v>
      </c>
      <c r="E29" s="11">
        <v>2</v>
      </c>
      <c r="F29" s="11">
        <v>3</v>
      </c>
      <c r="G29" s="11">
        <v>3</v>
      </c>
      <c r="H29" s="11">
        <v>3</v>
      </c>
      <c r="I29" s="11">
        <v>2</v>
      </c>
      <c r="J29" s="11">
        <v>2</v>
      </c>
      <c r="K29" s="11">
        <v>4</v>
      </c>
      <c r="L29" s="11">
        <v>3</v>
      </c>
      <c r="M29" s="11">
        <v>2</v>
      </c>
      <c r="N29" s="11">
        <v>4</v>
      </c>
      <c r="O29" s="11">
        <v>4</v>
      </c>
      <c r="P29" s="11">
        <v>3</v>
      </c>
      <c r="Q29" s="11">
        <v>2</v>
      </c>
      <c r="R29" s="11">
        <v>3</v>
      </c>
      <c r="S29" s="11">
        <v>3</v>
      </c>
      <c r="T29" s="11">
        <v>4</v>
      </c>
      <c r="U29" s="11">
        <v>3</v>
      </c>
      <c r="V29" s="11">
        <v>4</v>
      </c>
      <c r="W29" s="11">
        <v>2</v>
      </c>
      <c r="X29" s="11">
        <v>4</v>
      </c>
      <c r="Y29" s="11">
        <v>2</v>
      </c>
      <c r="Z29" s="4">
        <f t="shared" si="0"/>
        <v>3</v>
      </c>
      <c r="AA29" s="4">
        <f t="shared" si="1"/>
        <v>2.5</v>
      </c>
      <c r="AB29" s="4">
        <f t="shared" si="2"/>
        <v>3.4</v>
      </c>
      <c r="AC29" s="4">
        <f t="shared" si="3"/>
        <v>3</v>
      </c>
      <c r="AD29" s="4">
        <f t="shared" si="4"/>
        <v>3</v>
      </c>
      <c r="AE29" s="4">
        <f t="shared" si="5"/>
        <v>2.98</v>
      </c>
      <c r="AF29" s="1" t="str">
        <f t="shared" si="6"/>
        <v>Complete</v>
      </c>
      <c r="AG29" s="3"/>
    </row>
    <row r="30" spans="1:33" ht="22.95" customHeight="1" thickBot="1">
      <c r="A30" s="1" t="s">
        <v>87</v>
      </c>
      <c r="B30" s="10">
        <v>2</v>
      </c>
      <c r="C30" s="11">
        <v>3</v>
      </c>
      <c r="D30" s="11">
        <v>3</v>
      </c>
      <c r="E30" s="11">
        <v>4</v>
      </c>
      <c r="F30" s="11">
        <v>3</v>
      </c>
      <c r="G30" s="11">
        <v>2</v>
      </c>
      <c r="H30" s="11">
        <v>1</v>
      </c>
      <c r="I30" s="11">
        <v>1</v>
      </c>
      <c r="J30" s="11">
        <v>1</v>
      </c>
      <c r="K30" s="11">
        <v>2</v>
      </c>
      <c r="L30" s="11">
        <v>1</v>
      </c>
      <c r="M30" s="11">
        <v>1</v>
      </c>
      <c r="N30" s="11">
        <v>1</v>
      </c>
      <c r="O30" s="11">
        <v>1</v>
      </c>
      <c r="P30" s="11">
        <v>1</v>
      </c>
      <c r="Q30" s="11">
        <v>1</v>
      </c>
      <c r="R30" s="11">
        <v>2</v>
      </c>
      <c r="S30" s="11">
        <v>1</v>
      </c>
      <c r="T30" s="11">
        <v>1</v>
      </c>
      <c r="U30" s="11">
        <v>1</v>
      </c>
      <c r="V30" s="11">
        <v>2</v>
      </c>
      <c r="W30" s="11">
        <v>1</v>
      </c>
      <c r="X30" s="11">
        <v>1</v>
      </c>
      <c r="Y30" s="11">
        <v>1</v>
      </c>
      <c r="Z30" s="4">
        <f t="shared" si="0"/>
        <v>3</v>
      </c>
      <c r="AA30" s="4">
        <f t="shared" si="1"/>
        <v>1.25</v>
      </c>
      <c r="AB30" s="4">
        <f t="shared" si="2"/>
        <v>1.2</v>
      </c>
      <c r="AC30" s="4">
        <f t="shared" si="3"/>
        <v>1.2</v>
      </c>
      <c r="AD30" s="4">
        <f t="shared" si="4"/>
        <v>1.2</v>
      </c>
      <c r="AE30" s="4">
        <f t="shared" si="5"/>
        <v>1.57</v>
      </c>
      <c r="AF30" s="1" t="str">
        <f t="shared" si="6"/>
        <v>Complete</v>
      </c>
      <c r="AG30" s="3"/>
    </row>
    <row r="31" spans="1:33" ht="22.95" customHeight="1" thickBot="1">
      <c r="A31" s="1" t="s">
        <v>88</v>
      </c>
      <c r="B31" s="10">
        <v>1</v>
      </c>
      <c r="C31" s="11">
        <v>1</v>
      </c>
      <c r="D31" s="11">
        <v>1</v>
      </c>
      <c r="E31" s="11">
        <v>1</v>
      </c>
      <c r="F31" s="11">
        <v>1</v>
      </c>
      <c r="G31" s="11">
        <v>1</v>
      </c>
      <c r="H31" s="11">
        <v>1</v>
      </c>
      <c r="I31" s="11">
        <v>1</v>
      </c>
      <c r="J31" s="11">
        <v>1</v>
      </c>
      <c r="K31" s="11">
        <v>1</v>
      </c>
      <c r="L31" s="11">
        <v>1</v>
      </c>
      <c r="M31" s="11">
        <v>1</v>
      </c>
      <c r="N31" s="11">
        <v>1</v>
      </c>
      <c r="O31" s="11">
        <v>1</v>
      </c>
      <c r="P31" s="11">
        <v>1</v>
      </c>
      <c r="Q31" s="11">
        <v>1</v>
      </c>
      <c r="R31" s="11">
        <v>1</v>
      </c>
      <c r="S31" s="11">
        <v>1</v>
      </c>
      <c r="T31" s="11">
        <v>1</v>
      </c>
      <c r="U31" s="11">
        <v>1</v>
      </c>
      <c r="V31" s="11">
        <v>1</v>
      </c>
      <c r="W31" s="11">
        <v>1</v>
      </c>
      <c r="X31" s="11">
        <v>1</v>
      </c>
      <c r="Y31" s="11">
        <v>1</v>
      </c>
      <c r="Z31" s="4">
        <f t="shared" si="0"/>
        <v>1</v>
      </c>
      <c r="AA31" s="4">
        <f t="shared" si="1"/>
        <v>1</v>
      </c>
      <c r="AB31" s="4">
        <f t="shared" si="2"/>
        <v>1</v>
      </c>
      <c r="AC31" s="4">
        <f t="shared" si="3"/>
        <v>1</v>
      </c>
      <c r="AD31" s="4">
        <f t="shared" si="4"/>
        <v>1</v>
      </c>
      <c r="AE31" s="4">
        <f t="shared" si="5"/>
        <v>1</v>
      </c>
      <c r="AF31" s="1" t="str">
        <f t="shared" si="6"/>
        <v>Complete</v>
      </c>
      <c r="AG31" s="3"/>
    </row>
    <row r="32" spans="1:33" ht="22.95" customHeight="1" thickBot="1">
      <c r="A32" s="1" t="s">
        <v>89</v>
      </c>
      <c r="B32" s="10">
        <v>2</v>
      </c>
      <c r="C32" s="11">
        <v>2</v>
      </c>
      <c r="D32" s="11">
        <v>2</v>
      </c>
      <c r="E32" s="11">
        <v>1</v>
      </c>
      <c r="F32" s="11">
        <v>1</v>
      </c>
      <c r="G32" s="11">
        <v>1</v>
      </c>
      <c r="H32" s="11">
        <v>1</v>
      </c>
      <c r="I32" s="11">
        <v>2</v>
      </c>
      <c r="J32" s="11">
        <v>1</v>
      </c>
      <c r="K32" s="11">
        <v>1</v>
      </c>
      <c r="L32" s="11">
        <v>2</v>
      </c>
      <c r="M32" s="11">
        <v>1</v>
      </c>
      <c r="N32" s="11">
        <v>2</v>
      </c>
      <c r="O32" s="11">
        <v>1</v>
      </c>
      <c r="P32" s="11">
        <v>1</v>
      </c>
      <c r="Q32" s="11">
        <v>2</v>
      </c>
      <c r="R32" s="11">
        <v>1</v>
      </c>
      <c r="S32" s="11">
        <v>2</v>
      </c>
      <c r="T32" s="11">
        <v>2</v>
      </c>
      <c r="U32" s="11">
        <v>1</v>
      </c>
      <c r="V32" s="11">
        <v>1</v>
      </c>
      <c r="W32" s="11">
        <v>2</v>
      </c>
      <c r="X32" s="11">
        <v>1</v>
      </c>
      <c r="Y32" s="11">
        <v>1</v>
      </c>
      <c r="Z32" s="4">
        <f t="shared" si="0"/>
        <v>1.6</v>
      </c>
      <c r="AA32" s="4">
        <f t="shared" si="1"/>
        <v>1.25</v>
      </c>
      <c r="AB32" s="4">
        <f t="shared" si="2"/>
        <v>1.4</v>
      </c>
      <c r="AC32" s="4">
        <f t="shared" si="3"/>
        <v>1.6</v>
      </c>
      <c r="AD32" s="4">
        <f t="shared" si="4"/>
        <v>1.2</v>
      </c>
      <c r="AE32" s="4">
        <f t="shared" si="5"/>
        <v>1.41</v>
      </c>
      <c r="AF32" s="1" t="str">
        <f t="shared" si="6"/>
        <v>Complete</v>
      </c>
      <c r="AG32" s="3"/>
    </row>
    <row r="33" spans="1:33" ht="22.95" customHeight="1" thickBot="1">
      <c r="A33" s="1" t="s">
        <v>90</v>
      </c>
      <c r="B33" s="10">
        <v>1</v>
      </c>
      <c r="C33" s="11">
        <v>1</v>
      </c>
      <c r="D33" s="11">
        <v>2</v>
      </c>
      <c r="E33" s="11">
        <v>1</v>
      </c>
      <c r="F33" s="11">
        <v>2</v>
      </c>
      <c r="G33" s="11">
        <v>2</v>
      </c>
      <c r="H33" s="11">
        <v>1</v>
      </c>
      <c r="I33" s="11">
        <v>1</v>
      </c>
      <c r="J33" s="11">
        <v>2</v>
      </c>
      <c r="K33" s="11">
        <v>2</v>
      </c>
      <c r="L33" s="11">
        <v>2</v>
      </c>
      <c r="M33" s="11">
        <v>2</v>
      </c>
      <c r="N33" s="11">
        <v>3</v>
      </c>
      <c r="O33" s="11">
        <v>2</v>
      </c>
      <c r="P33" s="11">
        <v>2</v>
      </c>
      <c r="Q33" s="11">
        <v>2</v>
      </c>
      <c r="R33" s="11">
        <v>2</v>
      </c>
      <c r="S33" s="11">
        <v>1</v>
      </c>
      <c r="T33" s="11">
        <v>2</v>
      </c>
      <c r="U33" s="11">
        <v>1</v>
      </c>
      <c r="V33" s="11">
        <v>2</v>
      </c>
      <c r="W33" s="11">
        <v>2</v>
      </c>
      <c r="X33" s="11">
        <v>2</v>
      </c>
      <c r="Y33" s="11">
        <v>1</v>
      </c>
      <c r="Z33" s="4">
        <f t="shared" si="0"/>
        <v>1.4</v>
      </c>
      <c r="AA33" s="4">
        <f t="shared" si="1"/>
        <v>1.5</v>
      </c>
      <c r="AB33" s="4">
        <f t="shared" si="2"/>
        <v>2.2000000000000002</v>
      </c>
      <c r="AC33" s="4">
        <f t="shared" si="3"/>
        <v>1.8</v>
      </c>
      <c r="AD33" s="4">
        <f t="shared" si="4"/>
        <v>1.6</v>
      </c>
      <c r="AE33" s="4">
        <f t="shared" si="5"/>
        <v>1.7</v>
      </c>
      <c r="AF33" s="1" t="str">
        <f t="shared" si="6"/>
        <v>Complete</v>
      </c>
      <c r="AG33" s="3"/>
    </row>
    <row r="34" spans="1:33" ht="22.95" customHeight="1" thickBot="1">
      <c r="A34" s="1" t="s">
        <v>91</v>
      </c>
      <c r="B34" s="10">
        <v>1</v>
      </c>
      <c r="C34" s="11">
        <v>1</v>
      </c>
      <c r="D34" s="11">
        <v>1</v>
      </c>
      <c r="E34" s="11">
        <v>1</v>
      </c>
      <c r="F34" s="11">
        <v>1</v>
      </c>
      <c r="G34" s="11">
        <v>1</v>
      </c>
      <c r="H34" s="11">
        <v>1</v>
      </c>
      <c r="I34" s="11">
        <v>1</v>
      </c>
      <c r="J34" s="11">
        <v>1</v>
      </c>
      <c r="K34" s="11">
        <v>1</v>
      </c>
      <c r="L34" s="11">
        <v>2</v>
      </c>
      <c r="M34" s="11">
        <v>1</v>
      </c>
      <c r="N34" s="11">
        <v>1</v>
      </c>
      <c r="O34" s="11">
        <v>1</v>
      </c>
      <c r="P34" s="11">
        <v>1</v>
      </c>
      <c r="Q34" s="11">
        <v>1</v>
      </c>
      <c r="R34" s="11">
        <v>1</v>
      </c>
      <c r="S34" s="11">
        <v>1</v>
      </c>
      <c r="T34" s="11">
        <v>1</v>
      </c>
      <c r="U34" s="11">
        <v>1</v>
      </c>
      <c r="V34" s="11">
        <v>1</v>
      </c>
      <c r="W34" s="11">
        <v>1</v>
      </c>
      <c r="X34" s="11">
        <v>1</v>
      </c>
      <c r="Y34" s="11">
        <v>1</v>
      </c>
      <c r="Z34" s="4">
        <f t="shared" ref="Z34:Z65" si="7">IF($AF34="Complete",AVERAGE(B34:F34),"")</f>
        <v>1</v>
      </c>
      <c r="AA34" s="4">
        <f t="shared" ref="AA34:AA65" si="8">IF($AF34="Complete",AVERAGE(G34:J34),"")</f>
        <v>1</v>
      </c>
      <c r="AB34" s="4">
        <f t="shared" ref="AB34:AB65" si="9">IF($AF34="Complete",AVERAGE(K34:O34),"")</f>
        <v>1.2</v>
      </c>
      <c r="AC34" s="4">
        <f t="shared" ref="AC34:AC65" si="10">IF($AF34="Complete",AVERAGE(P34:T34),"")</f>
        <v>1</v>
      </c>
      <c r="AD34" s="4">
        <f t="shared" ref="AD34:AD65" si="11">IF($AF34="Complete",AVERAGE(U34:Y34),"")</f>
        <v>1</v>
      </c>
      <c r="AE34" s="4">
        <f t="shared" ref="AE34:AE65" si="12">IF($AF34="Complete",AVERAGE(Z34:AD34),"")</f>
        <v>1.04</v>
      </c>
      <c r="AF34" s="1" t="str">
        <f t="shared" ref="AF34:AF65" si="13">IF(COUNTA(B34:Y34)=0,"Not entered",IF(AND(COUNT(B34:Y34)=24,COUNTIF(B34:Y34,1)+COUNTIF(B34:Y34,2)+COUNTIF(B34:Y34,3)+COUNTIF(B34:Y34,4)=24),"Complete","CHECK PAPER"))</f>
        <v>Complete</v>
      </c>
      <c r="AG34" s="3"/>
    </row>
    <row r="35" spans="1:33" ht="22.95" customHeight="1" thickBot="1">
      <c r="A35" s="1" t="s">
        <v>92</v>
      </c>
      <c r="B35" s="10">
        <v>3</v>
      </c>
      <c r="C35" s="11">
        <v>3</v>
      </c>
      <c r="D35" s="11">
        <v>4</v>
      </c>
      <c r="E35" s="11">
        <v>4</v>
      </c>
      <c r="F35" s="11">
        <v>4</v>
      </c>
      <c r="G35" s="11">
        <v>1</v>
      </c>
      <c r="H35" s="11">
        <v>1</v>
      </c>
      <c r="I35" s="11">
        <v>1</v>
      </c>
      <c r="J35" s="11">
        <v>1</v>
      </c>
      <c r="K35" s="11">
        <v>1</v>
      </c>
      <c r="L35" s="11">
        <v>1</v>
      </c>
      <c r="M35" s="11">
        <v>1</v>
      </c>
      <c r="N35" s="11">
        <v>2</v>
      </c>
      <c r="O35" s="11">
        <v>2</v>
      </c>
      <c r="P35" s="11">
        <v>1</v>
      </c>
      <c r="Q35" s="11">
        <v>2</v>
      </c>
      <c r="R35" s="11">
        <v>2</v>
      </c>
      <c r="S35" s="11">
        <v>1</v>
      </c>
      <c r="T35" s="11">
        <v>1</v>
      </c>
      <c r="U35" s="11">
        <v>2</v>
      </c>
      <c r="V35" s="11">
        <v>2</v>
      </c>
      <c r="W35" s="11">
        <v>1</v>
      </c>
      <c r="X35" s="11">
        <v>1</v>
      </c>
      <c r="Y35" s="11">
        <v>1</v>
      </c>
      <c r="Z35" s="4">
        <f t="shared" si="7"/>
        <v>3.6</v>
      </c>
      <c r="AA35" s="4">
        <f t="shared" si="8"/>
        <v>1</v>
      </c>
      <c r="AB35" s="4">
        <f t="shared" si="9"/>
        <v>1.4</v>
      </c>
      <c r="AC35" s="4">
        <f t="shared" si="10"/>
        <v>1.4</v>
      </c>
      <c r="AD35" s="4">
        <f t="shared" si="11"/>
        <v>1.4</v>
      </c>
      <c r="AE35" s="4">
        <f t="shared" si="12"/>
        <v>1.7600000000000002</v>
      </c>
      <c r="AF35" s="1" t="str">
        <f t="shared" si="13"/>
        <v>Complete</v>
      </c>
      <c r="AG35" s="3"/>
    </row>
    <row r="36" spans="1:33" ht="22.95" customHeight="1" thickBot="1">
      <c r="A36" s="1" t="s">
        <v>93</v>
      </c>
      <c r="B36" s="10">
        <v>3</v>
      </c>
      <c r="C36" s="11">
        <v>2</v>
      </c>
      <c r="D36" s="11">
        <v>3</v>
      </c>
      <c r="E36" s="11">
        <v>2</v>
      </c>
      <c r="F36" s="11">
        <v>4</v>
      </c>
      <c r="G36" s="11">
        <v>2</v>
      </c>
      <c r="H36" s="11">
        <v>1</v>
      </c>
      <c r="I36" s="11">
        <v>1</v>
      </c>
      <c r="J36" s="11">
        <v>1</v>
      </c>
      <c r="K36" s="11">
        <v>4</v>
      </c>
      <c r="L36" s="11">
        <v>3</v>
      </c>
      <c r="M36" s="11">
        <v>2</v>
      </c>
      <c r="N36" s="11">
        <v>2</v>
      </c>
      <c r="O36" s="11">
        <v>4</v>
      </c>
      <c r="P36" s="11">
        <v>1</v>
      </c>
      <c r="Q36" s="11">
        <v>2</v>
      </c>
      <c r="R36" s="11">
        <v>2</v>
      </c>
      <c r="S36" s="11">
        <v>1</v>
      </c>
      <c r="T36" s="11">
        <v>2</v>
      </c>
      <c r="U36" s="11">
        <v>1</v>
      </c>
      <c r="V36" s="11">
        <v>2</v>
      </c>
      <c r="W36" s="11">
        <v>1</v>
      </c>
      <c r="X36" s="11">
        <v>1</v>
      </c>
      <c r="Y36" s="11">
        <v>1</v>
      </c>
      <c r="Z36" s="4">
        <f t="shared" si="7"/>
        <v>2.8</v>
      </c>
      <c r="AA36" s="4">
        <f t="shared" si="8"/>
        <v>1.25</v>
      </c>
      <c r="AB36" s="4">
        <f t="shared" si="9"/>
        <v>3</v>
      </c>
      <c r="AC36" s="4">
        <f t="shared" si="10"/>
        <v>1.6</v>
      </c>
      <c r="AD36" s="4">
        <f t="shared" si="11"/>
        <v>1.2</v>
      </c>
      <c r="AE36" s="4">
        <f t="shared" si="12"/>
        <v>1.97</v>
      </c>
      <c r="AF36" s="1" t="str">
        <f t="shared" si="13"/>
        <v>Complete</v>
      </c>
      <c r="AG36" s="3"/>
    </row>
    <row r="37" spans="1:33" ht="22.95" customHeight="1" thickBot="1">
      <c r="A37" s="1" t="s">
        <v>94</v>
      </c>
      <c r="B37" s="10">
        <v>3</v>
      </c>
      <c r="C37" s="11">
        <v>3</v>
      </c>
      <c r="D37" s="11">
        <v>3</v>
      </c>
      <c r="E37" s="11">
        <v>3</v>
      </c>
      <c r="F37" s="11">
        <v>3</v>
      </c>
      <c r="G37" s="11">
        <v>3</v>
      </c>
      <c r="H37" s="11">
        <v>2</v>
      </c>
      <c r="I37" s="11">
        <v>1</v>
      </c>
      <c r="J37" s="11">
        <v>2</v>
      </c>
      <c r="K37" s="11">
        <v>3</v>
      </c>
      <c r="L37" s="11">
        <v>3</v>
      </c>
      <c r="M37" s="11">
        <v>3</v>
      </c>
      <c r="N37" s="11">
        <v>3</v>
      </c>
      <c r="O37" s="11">
        <v>3</v>
      </c>
      <c r="P37" s="11">
        <v>2</v>
      </c>
      <c r="Q37" s="11">
        <v>2</v>
      </c>
      <c r="R37" s="11">
        <v>3</v>
      </c>
      <c r="S37" s="11">
        <v>1</v>
      </c>
      <c r="T37" s="11">
        <v>2</v>
      </c>
      <c r="U37" s="11">
        <v>3</v>
      </c>
      <c r="V37" s="11">
        <v>4</v>
      </c>
      <c r="W37" s="11">
        <v>3</v>
      </c>
      <c r="X37" s="11">
        <v>2</v>
      </c>
      <c r="Y37" s="11">
        <v>3</v>
      </c>
      <c r="Z37" s="4">
        <f t="shared" si="7"/>
        <v>3</v>
      </c>
      <c r="AA37" s="4">
        <f t="shared" si="8"/>
        <v>2</v>
      </c>
      <c r="AB37" s="4">
        <f t="shared" si="9"/>
        <v>3</v>
      </c>
      <c r="AC37" s="4">
        <f t="shared" si="10"/>
        <v>2</v>
      </c>
      <c r="AD37" s="4">
        <f t="shared" si="11"/>
        <v>3</v>
      </c>
      <c r="AE37" s="4">
        <f t="shared" si="12"/>
        <v>2.6</v>
      </c>
      <c r="AF37" s="1" t="str">
        <f t="shared" si="13"/>
        <v>Complete</v>
      </c>
      <c r="AG37" s="3"/>
    </row>
    <row r="38" spans="1:33" ht="22.95" customHeight="1" thickBot="1">
      <c r="A38" s="1" t="s">
        <v>95</v>
      </c>
      <c r="B38" s="10">
        <v>1</v>
      </c>
      <c r="C38" s="11">
        <v>3</v>
      </c>
      <c r="D38" s="11">
        <v>3</v>
      </c>
      <c r="E38" s="11">
        <v>2</v>
      </c>
      <c r="F38" s="11">
        <v>3</v>
      </c>
      <c r="G38" s="11">
        <v>2</v>
      </c>
      <c r="H38" s="11">
        <v>3</v>
      </c>
      <c r="I38" s="11">
        <v>1</v>
      </c>
      <c r="J38" s="11">
        <v>2</v>
      </c>
      <c r="K38" s="11">
        <v>3</v>
      </c>
      <c r="L38" s="11">
        <v>3</v>
      </c>
      <c r="M38" s="11">
        <v>3</v>
      </c>
      <c r="N38" s="11">
        <v>3</v>
      </c>
      <c r="O38" s="11">
        <v>4</v>
      </c>
      <c r="P38" s="11">
        <v>2</v>
      </c>
      <c r="Q38" s="11">
        <v>1</v>
      </c>
      <c r="R38" s="11">
        <v>3</v>
      </c>
      <c r="S38" s="11">
        <v>2</v>
      </c>
      <c r="T38" s="11">
        <v>2</v>
      </c>
      <c r="U38" s="11">
        <v>3</v>
      </c>
      <c r="V38" s="11">
        <v>3</v>
      </c>
      <c r="W38" s="11">
        <v>4</v>
      </c>
      <c r="X38" s="11">
        <v>2</v>
      </c>
      <c r="Y38" s="11">
        <v>3</v>
      </c>
      <c r="Z38" s="4">
        <f t="shared" si="7"/>
        <v>2.4</v>
      </c>
      <c r="AA38" s="4">
        <f t="shared" si="8"/>
        <v>2</v>
      </c>
      <c r="AB38" s="4">
        <f t="shared" si="9"/>
        <v>3.2</v>
      </c>
      <c r="AC38" s="4">
        <f t="shared" si="10"/>
        <v>2</v>
      </c>
      <c r="AD38" s="4">
        <f t="shared" si="11"/>
        <v>3</v>
      </c>
      <c r="AE38" s="4">
        <f t="shared" si="12"/>
        <v>2.5200000000000005</v>
      </c>
      <c r="AF38" s="1" t="str">
        <f t="shared" si="13"/>
        <v>Complete</v>
      </c>
      <c r="AG38" s="3"/>
    </row>
    <row r="39" spans="1:33" ht="22.95" customHeight="1" thickBot="1">
      <c r="A39" s="1" t="s">
        <v>96</v>
      </c>
      <c r="B39" s="10">
        <v>4</v>
      </c>
      <c r="C39" s="11">
        <v>4</v>
      </c>
      <c r="D39" s="11">
        <v>4</v>
      </c>
      <c r="E39" s="11">
        <v>4</v>
      </c>
      <c r="F39" s="11">
        <v>4</v>
      </c>
      <c r="G39" s="11">
        <v>1</v>
      </c>
      <c r="H39" s="11">
        <v>2</v>
      </c>
      <c r="I39" s="11">
        <v>1</v>
      </c>
      <c r="J39" s="11">
        <v>1</v>
      </c>
      <c r="K39" s="11">
        <v>4</v>
      </c>
      <c r="L39" s="11">
        <v>4</v>
      </c>
      <c r="M39" s="11">
        <v>3</v>
      </c>
      <c r="N39" s="11">
        <v>4</v>
      </c>
      <c r="O39" s="11">
        <v>4</v>
      </c>
      <c r="P39" s="11">
        <v>2</v>
      </c>
      <c r="Q39" s="11">
        <v>2</v>
      </c>
      <c r="R39" s="11">
        <v>2</v>
      </c>
      <c r="S39" s="11">
        <v>2</v>
      </c>
      <c r="T39" s="11">
        <v>2</v>
      </c>
      <c r="U39" s="11">
        <v>1</v>
      </c>
      <c r="V39" s="11">
        <v>4</v>
      </c>
      <c r="W39" s="11">
        <v>3</v>
      </c>
      <c r="X39" s="11">
        <v>3</v>
      </c>
      <c r="Y39" s="11">
        <v>3</v>
      </c>
      <c r="Z39" s="4">
        <f t="shared" si="7"/>
        <v>4</v>
      </c>
      <c r="AA39" s="4">
        <f t="shared" si="8"/>
        <v>1.25</v>
      </c>
      <c r="AB39" s="4">
        <f t="shared" si="9"/>
        <v>3.8</v>
      </c>
      <c r="AC39" s="4">
        <f t="shared" si="10"/>
        <v>2</v>
      </c>
      <c r="AD39" s="4">
        <f t="shared" si="11"/>
        <v>2.8</v>
      </c>
      <c r="AE39" s="4">
        <f t="shared" si="12"/>
        <v>2.7700000000000005</v>
      </c>
      <c r="AF39" s="1" t="str">
        <f t="shared" si="13"/>
        <v>Complete</v>
      </c>
      <c r="AG39" s="3"/>
    </row>
    <row r="40" spans="1:33" ht="22.95" customHeight="1" thickBot="1">
      <c r="A40" s="1" t="s">
        <v>97</v>
      </c>
      <c r="B40" s="10">
        <v>1</v>
      </c>
      <c r="C40" s="11">
        <v>1</v>
      </c>
      <c r="D40" s="11">
        <v>3</v>
      </c>
      <c r="E40" s="11">
        <v>3</v>
      </c>
      <c r="F40" s="11">
        <v>3</v>
      </c>
      <c r="G40" s="11">
        <v>3</v>
      </c>
      <c r="H40" s="11">
        <v>2</v>
      </c>
      <c r="I40" s="11">
        <v>1</v>
      </c>
      <c r="J40" s="11">
        <v>2</v>
      </c>
      <c r="K40" s="11">
        <v>3</v>
      </c>
      <c r="L40" s="11">
        <v>3</v>
      </c>
      <c r="M40" s="11">
        <v>3</v>
      </c>
      <c r="N40" s="11">
        <v>3</v>
      </c>
      <c r="O40" s="11">
        <v>3</v>
      </c>
      <c r="P40" s="11">
        <v>2</v>
      </c>
      <c r="Q40" s="11">
        <v>3</v>
      </c>
      <c r="R40" s="11">
        <v>2</v>
      </c>
      <c r="S40" s="11">
        <v>3</v>
      </c>
      <c r="T40" s="11">
        <v>3</v>
      </c>
      <c r="U40" s="11">
        <v>1</v>
      </c>
      <c r="V40" s="11">
        <v>3</v>
      </c>
      <c r="W40" s="11">
        <v>3</v>
      </c>
      <c r="X40" s="11">
        <v>3</v>
      </c>
      <c r="Y40" s="11">
        <v>3</v>
      </c>
      <c r="Z40" s="4">
        <f t="shared" si="7"/>
        <v>2.2000000000000002</v>
      </c>
      <c r="AA40" s="4">
        <f t="shared" si="8"/>
        <v>2</v>
      </c>
      <c r="AB40" s="4">
        <f t="shared" si="9"/>
        <v>3</v>
      </c>
      <c r="AC40" s="4">
        <f t="shared" si="10"/>
        <v>2.6</v>
      </c>
      <c r="AD40" s="4">
        <f t="shared" si="11"/>
        <v>2.6</v>
      </c>
      <c r="AE40" s="4">
        <f t="shared" si="12"/>
        <v>2.48</v>
      </c>
      <c r="AF40" s="1" t="str">
        <f t="shared" si="13"/>
        <v>Complete</v>
      </c>
      <c r="AG40" s="3"/>
    </row>
    <row r="41" spans="1:33" ht="22.95" customHeight="1" thickBot="1">
      <c r="A41" s="1" t="s">
        <v>98</v>
      </c>
      <c r="B41" s="10">
        <v>3</v>
      </c>
      <c r="C41" s="11">
        <v>3</v>
      </c>
      <c r="D41" s="11">
        <v>3</v>
      </c>
      <c r="E41" s="11">
        <v>3</v>
      </c>
      <c r="F41" s="11">
        <v>3</v>
      </c>
      <c r="G41" s="11">
        <v>3</v>
      </c>
      <c r="H41" s="11">
        <v>2</v>
      </c>
      <c r="I41" s="11">
        <v>2</v>
      </c>
      <c r="J41" s="11">
        <v>3</v>
      </c>
      <c r="K41" s="11">
        <v>2</v>
      </c>
      <c r="L41" s="11">
        <v>2</v>
      </c>
      <c r="M41" s="11">
        <v>2</v>
      </c>
      <c r="N41" s="11">
        <v>3</v>
      </c>
      <c r="O41" s="11">
        <v>3</v>
      </c>
      <c r="P41" s="11">
        <v>2</v>
      </c>
      <c r="Q41" s="11">
        <v>2</v>
      </c>
      <c r="R41" s="11">
        <v>3</v>
      </c>
      <c r="S41" s="11">
        <v>3</v>
      </c>
      <c r="T41" s="11">
        <v>3</v>
      </c>
      <c r="U41" s="11">
        <v>3</v>
      </c>
      <c r="V41" s="11">
        <v>4</v>
      </c>
      <c r="W41" s="11">
        <v>4</v>
      </c>
      <c r="X41" s="11">
        <v>3</v>
      </c>
      <c r="Y41" s="11">
        <v>3</v>
      </c>
      <c r="Z41" s="4">
        <f t="shared" si="7"/>
        <v>3</v>
      </c>
      <c r="AA41" s="4">
        <f t="shared" si="8"/>
        <v>2.5</v>
      </c>
      <c r="AB41" s="4">
        <f t="shared" si="9"/>
        <v>2.4</v>
      </c>
      <c r="AC41" s="4">
        <f t="shared" si="10"/>
        <v>2.6</v>
      </c>
      <c r="AD41" s="4">
        <f t="shared" si="11"/>
        <v>3.4</v>
      </c>
      <c r="AE41" s="4">
        <f t="shared" si="12"/>
        <v>2.7800000000000002</v>
      </c>
      <c r="AF41" s="1" t="str">
        <f t="shared" si="13"/>
        <v>Complete</v>
      </c>
      <c r="AG41" s="3"/>
    </row>
    <row r="42" spans="1:33" ht="22.95" customHeight="1" thickBot="1">
      <c r="A42" s="1" t="s">
        <v>99</v>
      </c>
      <c r="B42" s="10">
        <v>4</v>
      </c>
      <c r="C42" s="11">
        <v>4</v>
      </c>
      <c r="D42" s="11">
        <v>4</v>
      </c>
      <c r="E42" s="11">
        <v>4</v>
      </c>
      <c r="F42" s="11">
        <v>4</v>
      </c>
      <c r="G42" s="11">
        <v>4</v>
      </c>
      <c r="H42" s="11">
        <v>4</v>
      </c>
      <c r="I42" s="11">
        <v>4</v>
      </c>
      <c r="J42" s="11">
        <v>4</v>
      </c>
      <c r="K42" s="11">
        <v>4</v>
      </c>
      <c r="L42" s="11">
        <v>4</v>
      </c>
      <c r="M42" s="11">
        <v>4</v>
      </c>
      <c r="N42" s="11">
        <v>4</v>
      </c>
      <c r="O42" s="11">
        <v>4</v>
      </c>
      <c r="P42" s="11">
        <v>3</v>
      </c>
      <c r="Q42" s="11">
        <v>3</v>
      </c>
      <c r="R42" s="11">
        <v>3</v>
      </c>
      <c r="S42" s="11">
        <v>3</v>
      </c>
      <c r="T42" s="11">
        <v>3</v>
      </c>
      <c r="U42" s="11">
        <v>2</v>
      </c>
      <c r="V42" s="11">
        <v>2</v>
      </c>
      <c r="W42" s="11">
        <v>2</v>
      </c>
      <c r="X42" s="11">
        <v>3</v>
      </c>
      <c r="Y42" s="11">
        <v>3</v>
      </c>
      <c r="Z42" s="4">
        <f t="shared" si="7"/>
        <v>4</v>
      </c>
      <c r="AA42" s="4">
        <f t="shared" si="8"/>
        <v>4</v>
      </c>
      <c r="AB42" s="4">
        <f t="shared" si="9"/>
        <v>4</v>
      </c>
      <c r="AC42" s="4">
        <f t="shared" si="10"/>
        <v>3</v>
      </c>
      <c r="AD42" s="4">
        <f t="shared" si="11"/>
        <v>2.4</v>
      </c>
      <c r="AE42" s="4">
        <f t="shared" si="12"/>
        <v>3.4799999999999995</v>
      </c>
      <c r="AF42" s="1" t="str">
        <f t="shared" si="13"/>
        <v>Complete</v>
      </c>
      <c r="AG42" s="3"/>
    </row>
    <row r="43" spans="1:33" ht="22.95" customHeight="1" thickBot="1">
      <c r="A43" s="1" t="s">
        <v>100</v>
      </c>
      <c r="B43" s="10">
        <v>4</v>
      </c>
      <c r="C43" s="11">
        <v>3</v>
      </c>
      <c r="D43" s="11">
        <v>3</v>
      </c>
      <c r="E43" s="11">
        <v>3</v>
      </c>
      <c r="F43" s="11">
        <v>3</v>
      </c>
      <c r="G43" s="11">
        <v>4</v>
      </c>
      <c r="H43" s="11">
        <v>3</v>
      </c>
      <c r="I43" s="11">
        <v>2</v>
      </c>
      <c r="J43" s="11">
        <v>3</v>
      </c>
      <c r="K43" s="11">
        <v>3</v>
      </c>
      <c r="L43" s="11">
        <v>2</v>
      </c>
      <c r="M43" s="11">
        <v>3</v>
      </c>
      <c r="N43" s="11">
        <v>3</v>
      </c>
      <c r="O43" s="11">
        <v>2</v>
      </c>
      <c r="P43" s="11">
        <v>3</v>
      </c>
      <c r="Q43" s="11">
        <v>3</v>
      </c>
      <c r="R43" s="11">
        <v>3</v>
      </c>
      <c r="S43" s="11">
        <v>2</v>
      </c>
      <c r="T43" s="11">
        <v>3</v>
      </c>
      <c r="U43" s="11">
        <v>3</v>
      </c>
      <c r="V43" s="11">
        <v>2</v>
      </c>
      <c r="W43" s="11">
        <v>2</v>
      </c>
      <c r="X43" s="11">
        <v>3</v>
      </c>
      <c r="Y43" s="11">
        <v>3</v>
      </c>
      <c r="Z43" s="4">
        <f t="shared" si="7"/>
        <v>3.2</v>
      </c>
      <c r="AA43" s="4">
        <f t="shared" si="8"/>
        <v>3</v>
      </c>
      <c r="AB43" s="4">
        <f t="shared" si="9"/>
        <v>2.6</v>
      </c>
      <c r="AC43" s="4">
        <f t="shared" si="10"/>
        <v>2.8</v>
      </c>
      <c r="AD43" s="4">
        <f t="shared" si="11"/>
        <v>2.6</v>
      </c>
      <c r="AE43" s="4">
        <f t="shared" si="12"/>
        <v>2.8400000000000003</v>
      </c>
      <c r="AF43" s="1" t="str">
        <f t="shared" si="13"/>
        <v>Complete</v>
      </c>
      <c r="AG43" s="3"/>
    </row>
    <row r="44" spans="1:33" ht="22.95" customHeight="1" thickBot="1">
      <c r="A44" s="1" t="s">
        <v>101</v>
      </c>
      <c r="B44" s="10">
        <v>4</v>
      </c>
      <c r="C44" s="11">
        <v>4</v>
      </c>
      <c r="D44" s="11">
        <v>4</v>
      </c>
      <c r="E44" s="11">
        <v>4</v>
      </c>
      <c r="F44" s="11">
        <v>4</v>
      </c>
      <c r="G44" s="11">
        <v>4</v>
      </c>
      <c r="H44" s="11">
        <v>3</v>
      </c>
      <c r="I44" s="11">
        <v>4</v>
      </c>
      <c r="J44" s="11">
        <v>4</v>
      </c>
      <c r="K44" s="11">
        <v>4</v>
      </c>
      <c r="L44" s="11">
        <v>4</v>
      </c>
      <c r="M44" s="11">
        <v>4</v>
      </c>
      <c r="N44" s="11">
        <v>4</v>
      </c>
      <c r="O44" s="11">
        <v>4</v>
      </c>
      <c r="P44" s="11">
        <v>4</v>
      </c>
      <c r="Q44" s="11">
        <v>4</v>
      </c>
      <c r="R44" s="11">
        <v>4</v>
      </c>
      <c r="S44" s="11">
        <v>4</v>
      </c>
      <c r="T44" s="11">
        <v>4</v>
      </c>
      <c r="U44" s="11">
        <v>4</v>
      </c>
      <c r="V44" s="11">
        <v>4</v>
      </c>
      <c r="W44" s="11">
        <v>4</v>
      </c>
      <c r="X44" s="11">
        <v>4</v>
      </c>
      <c r="Y44" s="11">
        <v>4</v>
      </c>
      <c r="Z44" s="4">
        <f t="shared" si="7"/>
        <v>4</v>
      </c>
      <c r="AA44" s="4">
        <f t="shared" si="8"/>
        <v>3.75</v>
      </c>
      <c r="AB44" s="4">
        <f t="shared" si="9"/>
        <v>4</v>
      </c>
      <c r="AC44" s="4">
        <f t="shared" si="10"/>
        <v>4</v>
      </c>
      <c r="AD44" s="4">
        <f t="shared" si="11"/>
        <v>4</v>
      </c>
      <c r="AE44" s="4">
        <f t="shared" si="12"/>
        <v>3.95</v>
      </c>
      <c r="AF44" s="1" t="str">
        <f t="shared" si="13"/>
        <v>Complete</v>
      </c>
      <c r="AG44" s="3"/>
    </row>
    <row r="45" spans="1:33" ht="22.95" customHeight="1" thickBot="1">
      <c r="A45" s="1" t="s">
        <v>102</v>
      </c>
      <c r="B45" s="10">
        <v>2</v>
      </c>
      <c r="C45" s="11">
        <v>2</v>
      </c>
      <c r="D45" s="11">
        <v>1</v>
      </c>
      <c r="E45" s="11">
        <v>1</v>
      </c>
      <c r="F45" s="11">
        <v>3</v>
      </c>
      <c r="G45" s="11">
        <v>2</v>
      </c>
      <c r="H45" s="11">
        <v>1</v>
      </c>
      <c r="I45" s="11">
        <v>2</v>
      </c>
      <c r="J45" s="11">
        <v>3</v>
      </c>
      <c r="K45" s="11">
        <v>1</v>
      </c>
      <c r="L45" s="11">
        <v>2</v>
      </c>
      <c r="M45" s="11">
        <v>2</v>
      </c>
      <c r="N45" s="11">
        <v>3</v>
      </c>
      <c r="O45" s="11">
        <v>3</v>
      </c>
      <c r="P45" s="11">
        <v>1</v>
      </c>
      <c r="Q45" s="11">
        <v>2</v>
      </c>
      <c r="R45" s="11">
        <v>1</v>
      </c>
      <c r="S45" s="11">
        <v>2</v>
      </c>
      <c r="T45" s="11">
        <v>2</v>
      </c>
      <c r="U45" s="11">
        <v>3</v>
      </c>
      <c r="V45" s="11">
        <v>3</v>
      </c>
      <c r="W45" s="11">
        <v>1</v>
      </c>
      <c r="X45" s="11">
        <v>2</v>
      </c>
      <c r="Y45" s="11">
        <v>2</v>
      </c>
      <c r="Z45" s="4">
        <f t="shared" si="7"/>
        <v>1.8</v>
      </c>
      <c r="AA45" s="4">
        <f t="shared" si="8"/>
        <v>2</v>
      </c>
      <c r="AB45" s="4">
        <f t="shared" si="9"/>
        <v>2.2000000000000002</v>
      </c>
      <c r="AC45" s="4">
        <f t="shared" si="10"/>
        <v>1.6</v>
      </c>
      <c r="AD45" s="4">
        <f t="shared" si="11"/>
        <v>2.2000000000000002</v>
      </c>
      <c r="AE45" s="4">
        <f t="shared" si="12"/>
        <v>1.9600000000000002</v>
      </c>
      <c r="AF45" s="1" t="str">
        <f t="shared" si="13"/>
        <v>Complete</v>
      </c>
      <c r="AG45" s="3"/>
    </row>
    <row r="46" spans="1:33" ht="22.95" customHeight="1" thickBot="1">
      <c r="A46" s="1" t="s">
        <v>103</v>
      </c>
      <c r="B46" s="10">
        <v>2</v>
      </c>
      <c r="C46" s="11">
        <v>3</v>
      </c>
      <c r="D46" s="11">
        <v>2</v>
      </c>
      <c r="E46" s="11">
        <v>2</v>
      </c>
      <c r="F46" s="11">
        <v>2</v>
      </c>
      <c r="G46" s="11">
        <v>2</v>
      </c>
      <c r="H46" s="11">
        <v>1</v>
      </c>
      <c r="I46" s="11">
        <v>1</v>
      </c>
      <c r="J46" s="11">
        <v>1</v>
      </c>
      <c r="K46" s="11">
        <v>3</v>
      </c>
      <c r="L46" s="11">
        <v>2</v>
      </c>
      <c r="M46" s="11">
        <v>2</v>
      </c>
      <c r="N46" s="11">
        <v>4</v>
      </c>
      <c r="O46" s="11">
        <v>4</v>
      </c>
      <c r="P46" s="11">
        <v>1</v>
      </c>
      <c r="Q46" s="11">
        <v>2</v>
      </c>
      <c r="R46" s="11">
        <v>2</v>
      </c>
      <c r="S46" s="11">
        <v>2</v>
      </c>
      <c r="T46" s="11">
        <v>2</v>
      </c>
      <c r="U46" s="11">
        <v>2</v>
      </c>
      <c r="V46" s="11">
        <v>1</v>
      </c>
      <c r="W46" s="11">
        <v>1</v>
      </c>
      <c r="X46" s="11">
        <v>1</v>
      </c>
      <c r="Y46" s="11">
        <v>1</v>
      </c>
      <c r="Z46" s="4">
        <f t="shared" si="7"/>
        <v>2.2000000000000002</v>
      </c>
      <c r="AA46" s="4">
        <f t="shared" si="8"/>
        <v>1.25</v>
      </c>
      <c r="AB46" s="4">
        <f t="shared" si="9"/>
        <v>3</v>
      </c>
      <c r="AC46" s="4">
        <f t="shared" si="10"/>
        <v>1.8</v>
      </c>
      <c r="AD46" s="4">
        <f t="shared" si="11"/>
        <v>1.2</v>
      </c>
      <c r="AE46" s="4">
        <f t="shared" si="12"/>
        <v>1.89</v>
      </c>
      <c r="AF46" s="1" t="str">
        <f t="shared" si="13"/>
        <v>Complete</v>
      </c>
      <c r="AG46" s="3"/>
    </row>
    <row r="47" spans="1:33" ht="22.95" customHeight="1" thickBot="1">
      <c r="A47" s="1" t="s">
        <v>104</v>
      </c>
      <c r="B47" s="10">
        <v>1</v>
      </c>
      <c r="C47" s="11">
        <v>1</v>
      </c>
      <c r="D47" s="11">
        <v>2</v>
      </c>
      <c r="E47" s="11">
        <v>1</v>
      </c>
      <c r="F47" s="11">
        <v>1</v>
      </c>
      <c r="G47" s="11">
        <v>1</v>
      </c>
      <c r="H47" s="11">
        <v>2</v>
      </c>
      <c r="I47" s="11">
        <v>2</v>
      </c>
      <c r="J47" s="11">
        <v>1</v>
      </c>
      <c r="K47" s="11">
        <v>4</v>
      </c>
      <c r="L47" s="11">
        <v>3</v>
      </c>
      <c r="M47" s="11">
        <v>2</v>
      </c>
      <c r="N47" s="11">
        <v>2</v>
      </c>
      <c r="O47" s="11">
        <v>4</v>
      </c>
      <c r="P47" s="11">
        <v>1</v>
      </c>
      <c r="Q47" s="11">
        <v>1</v>
      </c>
      <c r="R47" s="11">
        <v>1</v>
      </c>
      <c r="S47" s="11">
        <v>1</v>
      </c>
      <c r="T47" s="11">
        <v>1</v>
      </c>
      <c r="U47" s="11">
        <v>2</v>
      </c>
      <c r="V47" s="11">
        <v>1</v>
      </c>
      <c r="W47" s="11">
        <v>3</v>
      </c>
      <c r="X47" s="11">
        <v>1</v>
      </c>
      <c r="Y47" s="11">
        <v>2</v>
      </c>
      <c r="Z47" s="4">
        <f t="shared" si="7"/>
        <v>1.2</v>
      </c>
      <c r="AA47" s="4">
        <f t="shared" si="8"/>
        <v>1.5</v>
      </c>
      <c r="AB47" s="4">
        <f t="shared" si="9"/>
        <v>3</v>
      </c>
      <c r="AC47" s="4">
        <f t="shared" si="10"/>
        <v>1</v>
      </c>
      <c r="AD47" s="4">
        <f t="shared" si="11"/>
        <v>1.8</v>
      </c>
      <c r="AE47" s="4">
        <f t="shared" si="12"/>
        <v>1.7</v>
      </c>
      <c r="AF47" s="1" t="str">
        <f t="shared" si="13"/>
        <v>Complete</v>
      </c>
      <c r="AG47" s="3"/>
    </row>
    <row r="48" spans="1:33" ht="22.95" customHeight="1" thickBot="1">
      <c r="A48" s="1" t="s">
        <v>105</v>
      </c>
      <c r="B48" s="10">
        <v>4</v>
      </c>
      <c r="C48" s="11">
        <v>2</v>
      </c>
      <c r="D48" s="11">
        <v>3</v>
      </c>
      <c r="E48" s="11">
        <v>3</v>
      </c>
      <c r="F48" s="11">
        <v>1</v>
      </c>
      <c r="G48" s="11">
        <v>2</v>
      </c>
      <c r="H48" s="11">
        <v>2</v>
      </c>
      <c r="I48" s="11">
        <v>2</v>
      </c>
      <c r="J48" s="11">
        <v>1</v>
      </c>
      <c r="K48" s="11">
        <v>3</v>
      </c>
      <c r="L48" s="11">
        <v>3</v>
      </c>
      <c r="M48" s="11">
        <v>2</v>
      </c>
      <c r="N48" s="11">
        <v>2</v>
      </c>
      <c r="O48" s="11">
        <v>2</v>
      </c>
      <c r="P48" s="11">
        <v>2</v>
      </c>
      <c r="Q48" s="11">
        <v>2</v>
      </c>
      <c r="R48" s="11">
        <v>2</v>
      </c>
      <c r="S48" s="11">
        <v>1</v>
      </c>
      <c r="T48" s="11">
        <v>2</v>
      </c>
      <c r="U48" s="11">
        <v>3</v>
      </c>
      <c r="V48" s="11">
        <v>2</v>
      </c>
      <c r="W48" s="11">
        <v>2</v>
      </c>
      <c r="X48" s="11">
        <v>3</v>
      </c>
      <c r="Y48" s="11">
        <v>1</v>
      </c>
      <c r="Z48" s="4">
        <f t="shared" si="7"/>
        <v>2.6</v>
      </c>
      <c r="AA48" s="4">
        <f t="shared" si="8"/>
        <v>1.75</v>
      </c>
      <c r="AB48" s="4">
        <f t="shared" si="9"/>
        <v>2.4</v>
      </c>
      <c r="AC48" s="4">
        <f t="shared" si="10"/>
        <v>1.8</v>
      </c>
      <c r="AD48" s="4">
        <f t="shared" si="11"/>
        <v>2.2000000000000002</v>
      </c>
      <c r="AE48" s="4">
        <f t="shared" si="12"/>
        <v>2.15</v>
      </c>
      <c r="AF48" s="1" t="str">
        <f t="shared" si="13"/>
        <v>Complete</v>
      </c>
      <c r="AG48" s="3"/>
    </row>
    <row r="49" spans="1:33" ht="22.95" customHeight="1" thickBot="1">
      <c r="A49" s="1" t="s">
        <v>106</v>
      </c>
      <c r="B49" s="10">
        <v>2</v>
      </c>
      <c r="C49" s="11">
        <v>2</v>
      </c>
      <c r="D49" s="11">
        <v>3</v>
      </c>
      <c r="E49" s="11">
        <v>2</v>
      </c>
      <c r="F49" s="11">
        <v>2</v>
      </c>
      <c r="G49" s="11">
        <v>2</v>
      </c>
      <c r="H49" s="11">
        <v>3</v>
      </c>
      <c r="I49" s="11">
        <v>2</v>
      </c>
      <c r="J49" s="11">
        <v>2</v>
      </c>
      <c r="K49" s="11">
        <v>4</v>
      </c>
      <c r="L49" s="11">
        <v>4</v>
      </c>
      <c r="M49" s="11">
        <v>4</v>
      </c>
      <c r="N49" s="11">
        <v>2</v>
      </c>
      <c r="O49" s="11">
        <v>2</v>
      </c>
      <c r="P49" s="11">
        <v>2</v>
      </c>
      <c r="Q49" s="11">
        <v>2</v>
      </c>
      <c r="R49" s="11">
        <v>2</v>
      </c>
      <c r="S49" s="11">
        <v>1</v>
      </c>
      <c r="T49" s="11">
        <v>1</v>
      </c>
      <c r="U49" s="11">
        <v>3</v>
      </c>
      <c r="V49" s="11">
        <v>2</v>
      </c>
      <c r="W49" s="11">
        <v>3</v>
      </c>
      <c r="X49" s="11">
        <v>3</v>
      </c>
      <c r="Y49" s="11">
        <v>3</v>
      </c>
      <c r="Z49" s="4">
        <f t="shared" si="7"/>
        <v>2.2000000000000002</v>
      </c>
      <c r="AA49" s="4">
        <f t="shared" si="8"/>
        <v>2.25</v>
      </c>
      <c r="AB49" s="4">
        <f t="shared" si="9"/>
        <v>3.2</v>
      </c>
      <c r="AC49" s="4">
        <f t="shared" si="10"/>
        <v>1.6</v>
      </c>
      <c r="AD49" s="4">
        <f t="shared" si="11"/>
        <v>2.8</v>
      </c>
      <c r="AE49" s="4">
        <f t="shared" si="12"/>
        <v>2.41</v>
      </c>
      <c r="AF49" s="1" t="str">
        <f t="shared" si="13"/>
        <v>Complete</v>
      </c>
      <c r="AG49" s="3"/>
    </row>
    <row r="50" spans="1:33" ht="22.95" customHeight="1" thickBot="1">
      <c r="A50" s="1" t="s">
        <v>107</v>
      </c>
      <c r="B50" s="10">
        <v>2</v>
      </c>
      <c r="C50" s="11">
        <v>2</v>
      </c>
      <c r="D50" s="11">
        <v>4</v>
      </c>
      <c r="E50" s="11">
        <v>2</v>
      </c>
      <c r="F50" s="11">
        <v>3</v>
      </c>
      <c r="G50" s="11">
        <v>1</v>
      </c>
      <c r="H50" s="11">
        <v>1</v>
      </c>
      <c r="I50" s="11">
        <v>2</v>
      </c>
      <c r="J50" s="11">
        <v>2</v>
      </c>
      <c r="K50" s="11">
        <v>4</v>
      </c>
      <c r="L50" s="11">
        <v>2</v>
      </c>
      <c r="M50" s="11">
        <v>2</v>
      </c>
      <c r="N50" s="11">
        <v>3</v>
      </c>
      <c r="O50" s="11">
        <v>3</v>
      </c>
      <c r="P50" s="11">
        <v>2</v>
      </c>
      <c r="Q50" s="11">
        <v>2</v>
      </c>
      <c r="R50" s="11">
        <v>1</v>
      </c>
      <c r="S50" s="11">
        <v>1</v>
      </c>
      <c r="T50" s="11">
        <v>1</v>
      </c>
      <c r="U50" s="11">
        <v>2</v>
      </c>
      <c r="V50" s="11">
        <v>2</v>
      </c>
      <c r="W50" s="11">
        <v>2</v>
      </c>
      <c r="X50" s="11">
        <v>1</v>
      </c>
      <c r="Y50" s="11">
        <v>3</v>
      </c>
      <c r="Z50" s="4">
        <f t="shared" si="7"/>
        <v>2.6</v>
      </c>
      <c r="AA50" s="4">
        <f t="shared" si="8"/>
        <v>1.5</v>
      </c>
      <c r="AB50" s="4">
        <f t="shared" si="9"/>
        <v>2.8</v>
      </c>
      <c r="AC50" s="4">
        <f t="shared" si="10"/>
        <v>1.4</v>
      </c>
      <c r="AD50" s="4">
        <f t="shared" si="11"/>
        <v>2</v>
      </c>
      <c r="AE50" s="4">
        <f t="shared" si="12"/>
        <v>2.0599999999999996</v>
      </c>
      <c r="AF50" s="1" t="str">
        <f t="shared" si="13"/>
        <v>Complete</v>
      </c>
      <c r="AG50" s="3"/>
    </row>
    <row r="51" spans="1:33" ht="22.95" customHeight="1" thickBot="1">
      <c r="A51" s="1" t="s">
        <v>108</v>
      </c>
      <c r="B51" s="10">
        <v>1</v>
      </c>
      <c r="C51" s="11">
        <v>2</v>
      </c>
      <c r="D51" s="11">
        <v>3</v>
      </c>
      <c r="E51" s="11">
        <v>1</v>
      </c>
      <c r="F51" s="11">
        <v>2</v>
      </c>
      <c r="G51" s="11">
        <v>1</v>
      </c>
      <c r="H51" s="11">
        <v>1</v>
      </c>
      <c r="I51" s="11">
        <v>1</v>
      </c>
      <c r="J51" s="11">
        <v>1</v>
      </c>
      <c r="K51" s="11">
        <v>4</v>
      </c>
      <c r="L51" s="11">
        <v>4</v>
      </c>
      <c r="M51" s="11">
        <v>3</v>
      </c>
      <c r="N51" s="11">
        <v>3</v>
      </c>
      <c r="O51" s="11">
        <v>3</v>
      </c>
      <c r="P51" s="11">
        <v>2</v>
      </c>
      <c r="Q51" s="11">
        <v>2</v>
      </c>
      <c r="R51" s="11">
        <v>2</v>
      </c>
      <c r="S51" s="11">
        <v>1</v>
      </c>
      <c r="T51" s="11">
        <v>1</v>
      </c>
      <c r="U51" s="11">
        <v>3</v>
      </c>
      <c r="V51" s="11">
        <v>1</v>
      </c>
      <c r="W51" s="11">
        <v>3</v>
      </c>
      <c r="X51" s="11">
        <v>3</v>
      </c>
      <c r="Y51" s="11">
        <v>3</v>
      </c>
      <c r="Z51" s="4">
        <f t="shared" si="7"/>
        <v>1.8</v>
      </c>
      <c r="AA51" s="4">
        <f t="shared" si="8"/>
        <v>1</v>
      </c>
      <c r="AB51" s="4">
        <f t="shared" si="9"/>
        <v>3.4</v>
      </c>
      <c r="AC51" s="4">
        <f t="shared" si="10"/>
        <v>1.6</v>
      </c>
      <c r="AD51" s="4">
        <f t="shared" si="11"/>
        <v>2.6</v>
      </c>
      <c r="AE51" s="4">
        <f t="shared" si="12"/>
        <v>2.0799999999999996</v>
      </c>
      <c r="AF51" s="1" t="str">
        <f t="shared" si="13"/>
        <v>Complete</v>
      </c>
      <c r="AG51" s="3"/>
    </row>
    <row r="52" spans="1:33" ht="22.95" customHeight="1" thickBot="1">
      <c r="A52" s="1" t="s">
        <v>109</v>
      </c>
      <c r="B52" s="10">
        <v>2</v>
      </c>
      <c r="C52" s="11">
        <v>3</v>
      </c>
      <c r="D52" s="11">
        <v>3</v>
      </c>
      <c r="E52" s="11">
        <v>2</v>
      </c>
      <c r="F52" s="11">
        <v>1</v>
      </c>
      <c r="G52" s="11">
        <v>1</v>
      </c>
      <c r="H52" s="11">
        <v>1</v>
      </c>
      <c r="I52" s="11">
        <v>2</v>
      </c>
      <c r="J52" s="11">
        <v>1</v>
      </c>
      <c r="K52" s="11">
        <v>3</v>
      </c>
      <c r="L52" s="11">
        <v>3</v>
      </c>
      <c r="M52" s="11">
        <v>2</v>
      </c>
      <c r="N52" s="11">
        <v>4</v>
      </c>
      <c r="O52" s="11">
        <v>3</v>
      </c>
      <c r="P52" s="11">
        <v>2</v>
      </c>
      <c r="Q52" s="11">
        <v>2</v>
      </c>
      <c r="R52" s="11">
        <v>2</v>
      </c>
      <c r="S52" s="11">
        <v>2</v>
      </c>
      <c r="T52" s="11">
        <v>1</v>
      </c>
      <c r="U52" s="11">
        <v>2</v>
      </c>
      <c r="V52" s="11">
        <v>2</v>
      </c>
      <c r="W52" s="11">
        <v>2</v>
      </c>
      <c r="X52" s="11">
        <v>1</v>
      </c>
      <c r="Y52" s="11">
        <v>2</v>
      </c>
      <c r="Z52" s="4">
        <f t="shared" si="7"/>
        <v>2.2000000000000002</v>
      </c>
      <c r="AA52" s="4">
        <f t="shared" si="8"/>
        <v>1.25</v>
      </c>
      <c r="AB52" s="4">
        <f t="shared" si="9"/>
        <v>3</v>
      </c>
      <c r="AC52" s="4">
        <f t="shared" si="10"/>
        <v>1.8</v>
      </c>
      <c r="AD52" s="4">
        <f t="shared" si="11"/>
        <v>1.8</v>
      </c>
      <c r="AE52" s="4">
        <f t="shared" si="12"/>
        <v>2.0100000000000002</v>
      </c>
      <c r="AF52" s="1" t="str">
        <f t="shared" si="13"/>
        <v>Complete</v>
      </c>
      <c r="AG52" s="3"/>
    </row>
    <row r="53" spans="1:33" ht="22.95" customHeight="1" thickBot="1">
      <c r="A53" s="1" t="s">
        <v>110</v>
      </c>
      <c r="B53" s="10">
        <v>2</v>
      </c>
      <c r="C53" s="11">
        <v>3</v>
      </c>
      <c r="D53" s="11">
        <v>3</v>
      </c>
      <c r="E53" s="11">
        <v>2</v>
      </c>
      <c r="F53" s="11">
        <v>2</v>
      </c>
      <c r="G53" s="11">
        <v>1</v>
      </c>
      <c r="H53" s="11">
        <v>1</v>
      </c>
      <c r="I53" s="11">
        <v>1</v>
      </c>
      <c r="J53" s="11">
        <v>1</v>
      </c>
      <c r="K53" s="11">
        <v>3</v>
      </c>
      <c r="L53" s="11">
        <v>2</v>
      </c>
      <c r="M53" s="11">
        <v>2</v>
      </c>
      <c r="N53" s="11">
        <v>4</v>
      </c>
      <c r="O53" s="11">
        <v>4</v>
      </c>
      <c r="P53" s="11">
        <v>1</v>
      </c>
      <c r="Q53" s="11">
        <v>1</v>
      </c>
      <c r="R53" s="11">
        <v>1</v>
      </c>
      <c r="S53" s="11">
        <v>1</v>
      </c>
      <c r="T53" s="11">
        <v>1</v>
      </c>
      <c r="U53" s="11">
        <v>2</v>
      </c>
      <c r="V53" s="11">
        <v>1</v>
      </c>
      <c r="W53" s="11">
        <v>1</v>
      </c>
      <c r="X53" s="11">
        <v>1</v>
      </c>
      <c r="Y53" s="11">
        <v>2</v>
      </c>
      <c r="Z53" s="4">
        <f t="shared" si="7"/>
        <v>2.4</v>
      </c>
      <c r="AA53" s="4">
        <f t="shared" si="8"/>
        <v>1</v>
      </c>
      <c r="AB53" s="4">
        <f t="shared" si="9"/>
        <v>3</v>
      </c>
      <c r="AC53" s="4">
        <f t="shared" si="10"/>
        <v>1</v>
      </c>
      <c r="AD53" s="4">
        <f t="shared" si="11"/>
        <v>1.4</v>
      </c>
      <c r="AE53" s="4">
        <f t="shared" si="12"/>
        <v>1.7600000000000002</v>
      </c>
      <c r="AF53" s="1" t="str">
        <f t="shared" si="13"/>
        <v>Complete</v>
      </c>
      <c r="AG53" s="3"/>
    </row>
    <row r="54" spans="1:33" ht="22.95" customHeight="1" thickBot="1">
      <c r="A54" s="1" t="s">
        <v>111</v>
      </c>
      <c r="B54" s="10">
        <v>2</v>
      </c>
      <c r="C54" s="11">
        <v>2</v>
      </c>
      <c r="D54" s="11">
        <v>2</v>
      </c>
      <c r="E54" s="11">
        <v>2</v>
      </c>
      <c r="F54" s="11">
        <v>2</v>
      </c>
      <c r="G54" s="11">
        <v>1</v>
      </c>
      <c r="H54" s="11">
        <v>1</v>
      </c>
      <c r="I54" s="11">
        <v>2</v>
      </c>
      <c r="J54" s="11">
        <v>1</v>
      </c>
      <c r="K54" s="11">
        <v>4</v>
      </c>
      <c r="L54" s="11">
        <v>2</v>
      </c>
      <c r="M54" s="11">
        <v>3</v>
      </c>
      <c r="N54" s="11">
        <v>4</v>
      </c>
      <c r="O54" s="11">
        <v>4</v>
      </c>
      <c r="P54" s="11">
        <v>2</v>
      </c>
      <c r="Q54" s="11">
        <v>2</v>
      </c>
      <c r="R54" s="11">
        <v>2</v>
      </c>
      <c r="S54" s="11">
        <v>1</v>
      </c>
      <c r="T54" s="11">
        <v>2</v>
      </c>
      <c r="U54" s="11">
        <v>1</v>
      </c>
      <c r="V54" s="11">
        <v>1</v>
      </c>
      <c r="W54" s="11">
        <v>1</v>
      </c>
      <c r="X54" s="11">
        <v>1</v>
      </c>
      <c r="Y54" s="11">
        <v>1</v>
      </c>
      <c r="Z54" s="4">
        <f t="shared" si="7"/>
        <v>2</v>
      </c>
      <c r="AA54" s="4">
        <f t="shared" si="8"/>
        <v>1.25</v>
      </c>
      <c r="AB54" s="4">
        <f t="shared" si="9"/>
        <v>3.4</v>
      </c>
      <c r="AC54" s="4">
        <f t="shared" si="10"/>
        <v>1.8</v>
      </c>
      <c r="AD54" s="4">
        <f t="shared" si="11"/>
        <v>1</v>
      </c>
      <c r="AE54" s="4">
        <f t="shared" si="12"/>
        <v>1.8900000000000001</v>
      </c>
      <c r="AF54" s="1" t="str">
        <f t="shared" si="13"/>
        <v>Complete</v>
      </c>
      <c r="AG54" s="3"/>
    </row>
    <row r="55" spans="1:33" ht="22.95" customHeight="1" thickBot="1">
      <c r="A55" s="1" t="s">
        <v>112</v>
      </c>
      <c r="B55" s="10">
        <v>2</v>
      </c>
      <c r="C55" s="11">
        <v>3</v>
      </c>
      <c r="D55" s="11">
        <v>3</v>
      </c>
      <c r="E55" s="11">
        <v>1</v>
      </c>
      <c r="F55" s="11">
        <v>2</v>
      </c>
      <c r="G55" s="11">
        <v>2</v>
      </c>
      <c r="H55" s="11">
        <v>1</v>
      </c>
      <c r="I55" s="11">
        <v>2</v>
      </c>
      <c r="J55" s="11">
        <v>1</v>
      </c>
      <c r="K55" s="11">
        <v>4</v>
      </c>
      <c r="L55" s="11">
        <v>2</v>
      </c>
      <c r="M55" s="11">
        <v>2</v>
      </c>
      <c r="N55" s="11">
        <v>4</v>
      </c>
      <c r="O55" s="11">
        <v>3</v>
      </c>
      <c r="P55" s="11">
        <v>2</v>
      </c>
      <c r="Q55" s="11">
        <v>1</v>
      </c>
      <c r="R55" s="11">
        <v>1</v>
      </c>
      <c r="S55" s="11">
        <v>2</v>
      </c>
      <c r="T55" s="11">
        <v>2</v>
      </c>
      <c r="U55" s="11">
        <v>2</v>
      </c>
      <c r="V55" s="11">
        <v>1</v>
      </c>
      <c r="W55" s="11">
        <v>2</v>
      </c>
      <c r="X55" s="11">
        <v>1</v>
      </c>
      <c r="Y55" s="11">
        <v>2</v>
      </c>
      <c r="Z55" s="4">
        <f t="shared" si="7"/>
        <v>2.2000000000000002</v>
      </c>
      <c r="AA55" s="4">
        <f t="shared" si="8"/>
        <v>1.5</v>
      </c>
      <c r="AB55" s="4">
        <f t="shared" si="9"/>
        <v>3</v>
      </c>
      <c r="AC55" s="4">
        <f t="shared" si="10"/>
        <v>1.6</v>
      </c>
      <c r="AD55" s="4">
        <f t="shared" si="11"/>
        <v>1.6</v>
      </c>
      <c r="AE55" s="4">
        <f t="shared" si="12"/>
        <v>1.98</v>
      </c>
      <c r="AF55" s="1" t="str">
        <f t="shared" si="13"/>
        <v>Complete</v>
      </c>
      <c r="AG55" s="3"/>
    </row>
    <row r="56" spans="1:33" ht="22.95" customHeight="1" thickBot="1">
      <c r="A56" s="1" t="s">
        <v>113</v>
      </c>
      <c r="B56" s="10">
        <v>1</v>
      </c>
      <c r="C56" s="11">
        <v>2</v>
      </c>
      <c r="D56" s="11">
        <v>2</v>
      </c>
      <c r="E56" s="11">
        <v>2</v>
      </c>
      <c r="F56" s="11">
        <v>2</v>
      </c>
      <c r="G56" s="11">
        <v>2</v>
      </c>
      <c r="H56" s="11">
        <v>2</v>
      </c>
      <c r="I56" s="11">
        <v>2</v>
      </c>
      <c r="J56" s="11">
        <v>2</v>
      </c>
      <c r="K56" s="11">
        <v>4</v>
      </c>
      <c r="L56" s="11">
        <v>2</v>
      </c>
      <c r="M56" s="11">
        <v>2</v>
      </c>
      <c r="N56" s="11">
        <v>4</v>
      </c>
      <c r="O56" s="11">
        <v>4</v>
      </c>
      <c r="P56" s="11">
        <v>2</v>
      </c>
      <c r="Q56" s="11">
        <v>2</v>
      </c>
      <c r="R56" s="11">
        <v>2</v>
      </c>
      <c r="S56" s="11">
        <v>1</v>
      </c>
      <c r="T56" s="11">
        <v>2</v>
      </c>
      <c r="U56" s="11">
        <v>2</v>
      </c>
      <c r="V56" s="11">
        <v>2</v>
      </c>
      <c r="W56" s="11">
        <v>1</v>
      </c>
      <c r="X56" s="11">
        <v>1</v>
      </c>
      <c r="Y56" s="11">
        <v>2</v>
      </c>
      <c r="Z56" s="4">
        <f t="shared" si="7"/>
        <v>1.8</v>
      </c>
      <c r="AA56" s="4">
        <f t="shared" si="8"/>
        <v>2</v>
      </c>
      <c r="AB56" s="4">
        <f t="shared" si="9"/>
        <v>3.2</v>
      </c>
      <c r="AC56" s="4">
        <f t="shared" si="10"/>
        <v>1.8</v>
      </c>
      <c r="AD56" s="4">
        <f t="shared" si="11"/>
        <v>1.6</v>
      </c>
      <c r="AE56" s="4">
        <f t="shared" si="12"/>
        <v>2.08</v>
      </c>
      <c r="AF56" s="1" t="str">
        <f t="shared" si="13"/>
        <v>Complete</v>
      </c>
      <c r="AG56" s="3"/>
    </row>
    <row r="57" spans="1:33" ht="22.95" customHeight="1" thickBot="1">
      <c r="A57" s="1" t="s">
        <v>114</v>
      </c>
      <c r="B57" s="10">
        <v>2</v>
      </c>
      <c r="C57" s="11">
        <v>1</v>
      </c>
      <c r="D57" s="11">
        <v>2</v>
      </c>
      <c r="E57" s="11">
        <v>2</v>
      </c>
      <c r="F57" s="11">
        <v>2</v>
      </c>
      <c r="G57" s="11">
        <v>1</v>
      </c>
      <c r="H57" s="11">
        <v>1</v>
      </c>
      <c r="I57" s="11">
        <v>1</v>
      </c>
      <c r="J57" s="11">
        <v>2</v>
      </c>
      <c r="K57" s="11">
        <v>4</v>
      </c>
      <c r="L57" s="11">
        <v>4</v>
      </c>
      <c r="M57" s="11">
        <v>3</v>
      </c>
      <c r="N57" s="11">
        <v>1</v>
      </c>
      <c r="O57" s="11">
        <v>3</v>
      </c>
      <c r="P57" s="11">
        <v>3</v>
      </c>
      <c r="Q57" s="11">
        <v>2</v>
      </c>
      <c r="R57" s="11">
        <v>2</v>
      </c>
      <c r="S57" s="11">
        <v>2</v>
      </c>
      <c r="T57" s="11">
        <v>2</v>
      </c>
      <c r="U57" s="11">
        <v>3</v>
      </c>
      <c r="V57" s="11">
        <v>2</v>
      </c>
      <c r="W57" s="11">
        <v>2</v>
      </c>
      <c r="X57" s="11">
        <v>2</v>
      </c>
      <c r="Y57" s="11">
        <v>2</v>
      </c>
      <c r="Z57" s="4">
        <f t="shared" si="7"/>
        <v>1.8</v>
      </c>
      <c r="AA57" s="4">
        <f t="shared" si="8"/>
        <v>1.25</v>
      </c>
      <c r="AB57" s="4">
        <f t="shared" si="9"/>
        <v>3</v>
      </c>
      <c r="AC57" s="4">
        <f t="shared" si="10"/>
        <v>2.2000000000000002</v>
      </c>
      <c r="AD57" s="4">
        <f t="shared" si="11"/>
        <v>2.2000000000000002</v>
      </c>
      <c r="AE57" s="4">
        <f t="shared" si="12"/>
        <v>2.09</v>
      </c>
      <c r="AF57" s="1" t="str">
        <f t="shared" si="13"/>
        <v>Complete</v>
      </c>
      <c r="AG57" s="3"/>
    </row>
    <row r="58" spans="1:33" ht="22.95" customHeight="1" thickBot="1">
      <c r="A58" s="1" t="s">
        <v>115</v>
      </c>
      <c r="B58" s="10">
        <v>2</v>
      </c>
      <c r="C58" s="11">
        <v>3</v>
      </c>
      <c r="D58" s="11">
        <v>3</v>
      </c>
      <c r="E58" s="11">
        <v>3</v>
      </c>
      <c r="F58" s="11">
        <v>3</v>
      </c>
      <c r="G58" s="11">
        <v>1</v>
      </c>
      <c r="H58" s="11">
        <v>1</v>
      </c>
      <c r="I58" s="11">
        <v>1</v>
      </c>
      <c r="J58" s="11">
        <v>1</v>
      </c>
      <c r="K58" s="11">
        <v>2</v>
      </c>
      <c r="L58" s="11">
        <v>2</v>
      </c>
      <c r="M58" s="11">
        <v>2</v>
      </c>
      <c r="N58" s="11">
        <v>2</v>
      </c>
      <c r="O58" s="11">
        <v>2</v>
      </c>
      <c r="P58" s="11">
        <v>3</v>
      </c>
      <c r="Q58" s="11">
        <v>2</v>
      </c>
      <c r="R58" s="11">
        <v>2</v>
      </c>
      <c r="S58" s="11">
        <v>3</v>
      </c>
      <c r="T58" s="11">
        <v>1</v>
      </c>
      <c r="U58" s="11">
        <v>2</v>
      </c>
      <c r="V58" s="11">
        <v>3</v>
      </c>
      <c r="W58" s="11">
        <v>2</v>
      </c>
      <c r="X58" s="11">
        <v>2</v>
      </c>
      <c r="Y58" s="11">
        <v>4</v>
      </c>
      <c r="Z58" s="4">
        <f t="shared" si="7"/>
        <v>2.8</v>
      </c>
      <c r="AA58" s="4">
        <f t="shared" si="8"/>
        <v>1</v>
      </c>
      <c r="AB58" s="4">
        <f t="shared" si="9"/>
        <v>2</v>
      </c>
      <c r="AC58" s="4">
        <f t="shared" si="10"/>
        <v>2.2000000000000002</v>
      </c>
      <c r="AD58" s="4">
        <f t="shared" si="11"/>
        <v>2.6</v>
      </c>
      <c r="AE58" s="4">
        <f t="shared" si="12"/>
        <v>2.12</v>
      </c>
      <c r="AF58" s="1" t="str">
        <f t="shared" si="13"/>
        <v>Complete</v>
      </c>
      <c r="AG58" s="3"/>
    </row>
    <row r="59" spans="1:33" ht="22.95" customHeight="1" thickBot="1">
      <c r="A59" s="1" t="s">
        <v>116</v>
      </c>
      <c r="B59" s="10">
        <v>2</v>
      </c>
      <c r="C59" s="11">
        <v>2</v>
      </c>
      <c r="D59" s="11">
        <v>3</v>
      </c>
      <c r="E59" s="11">
        <v>2</v>
      </c>
      <c r="F59" s="11">
        <v>3</v>
      </c>
      <c r="G59" s="11">
        <v>1</v>
      </c>
      <c r="H59" s="11">
        <v>1</v>
      </c>
      <c r="I59" s="11">
        <v>1</v>
      </c>
      <c r="J59" s="11">
        <v>2</v>
      </c>
      <c r="K59" s="11">
        <v>4</v>
      </c>
      <c r="L59" s="11">
        <v>4</v>
      </c>
      <c r="M59" s="11">
        <v>4</v>
      </c>
      <c r="N59" s="11">
        <v>4</v>
      </c>
      <c r="O59" s="11">
        <v>4</v>
      </c>
      <c r="P59" s="11">
        <v>3</v>
      </c>
      <c r="Q59" s="11">
        <v>3</v>
      </c>
      <c r="R59" s="11">
        <v>3</v>
      </c>
      <c r="S59" s="11">
        <v>1</v>
      </c>
      <c r="T59" s="11">
        <v>2</v>
      </c>
      <c r="U59" s="11">
        <v>3</v>
      </c>
      <c r="V59" s="11">
        <v>2</v>
      </c>
      <c r="W59" s="11">
        <v>2</v>
      </c>
      <c r="X59" s="11">
        <v>2</v>
      </c>
      <c r="Y59" s="11">
        <v>2</v>
      </c>
      <c r="Z59" s="4">
        <f t="shared" si="7"/>
        <v>2.4</v>
      </c>
      <c r="AA59" s="4">
        <f t="shared" si="8"/>
        <v>1.25</v>
      </c>
      <c r="AB59" s="4">
        <f t="shared" si="9"/>
        <v>4</v>
      </c>
      <c r="AC59" s="4">
        <f t="shared" si="10"/>
        <v>2.4</v>
      </c>
      <c r="AD59" s="4">
        <f t="shared" si="11"/>
        <v>2.2000000000000002</v>
      </c>
      <c r="AE59" s="4">
        <f t="shared" si="12"/>
        <v>2.4500000000000002</v>
      </c>
      <c r="AF59" s="1" t="str">
        <f t="shared" si="13"/>
        <v>Complete</v>
      </c>
      <c r="AG59" s="3"/>
    </row>
    <row r="60" spans="1:33" ht="22.95" customHeight="1" thickBot="1">
      <c r="A60" s="1" t="s">
        <v>117</v>
      </c>
      <c r="B60" s="10">
        <v>2</v>
      </c>
      <c r="C60" s="11">
        <v>2</v>
      </c>
      <c r="D60" s="11">
        <v>1</v>
      </c>
      <c r="E60" s="11">
        <v>2</v>
      </c>
      <c r="F60" s="11">
        <v>2</v>
      </c>
      <c r="G60" s="11">
        <v>1</v>
      </c>
      <c r="H60" s="11">
        <v>1</v>
      </c>
      <c r="I60" s="11">
        <v>1</v>
      </c>
      <c r="J60" s="11">
        <v>1</v>
      </c>
      <c r="K60" s="11">
        <v>2</v>
      </c>
      <c r="L60" s="11">
        <v>2</v>
      </c>
      <c r="M60" s="11">
        <v>1</v>
      </c>
      <c r="N60" s="11">
        <v>2</v>
      </c>
      <c r="O60" s="11">
        <v>1</v>
      </c>
      <c r="P60" s="11">
        <v>3</v>
      </c>
      <c r="Q60" s="11">
        <v>2</v>
      </c>
      <c r="R60" s="11">
        <v>2</v>
      </c>
      <c r="S60" s="11">
        <v>3</v>
      </c>
      <c r="T60" s="11">
        <v>1</v>
      </c>
      <c r="U60" s="11">
        <v>2</v>
      </c>
      <c r="V60" s="11">
        <v>2</v>
      </c>
      <c r="W60" s="11">
        <v>1</v>
      </c>
      <c r="X60" s="11">
        <v>1</v>
      </c>
      <c r="Y60" s="11">
        <v>1</v>
      </c>
      <c r="Z60" s="4">
        <f t="shared" si="7"/>
        <v>1.8</v>
      </c>
      <c r="AA60" s="4">
        <f t="shared" si="8"/>
        <v>1</v>
      </c>
      <c r="AB60" s="4">
        <f t="shared" si="9"/>
        <v>1.6</v>
      </c>
      <c r="AC60" s="4">
        <f t="shared" si="10"/>
        <v>2.2000000000000002</v>
      </c>
      <c r="AD60" s="4">
        <f t="shared" si="11"/>
        <v>1.4</v>
      </c>
      <c r="AE60" s="4">
        <f t="shared" si="12"/>
        <v>1.6</v>
      </c>
      <c r="AF60" s="1" t="str">
        <f t="shared" si="13"/>
        <v>Complete</v>
      </c>
      <c r="AG60" s="3"/>
    </row>
    <row r="61" spans="1:33" ht="22.95" customHeight="1" thickBot="1">
      <c r="A61" s="1" t="s">
        <v>118</v>
      </c>
      <c r="B61" s="10">
        <v>2</v>
      </c>
      <c r="C61" s="11">
        <v>2</v>
      </c>
      <c r="D61" s="11">
        <v>1</v>
      </c>
      <c r="E61" s="11">
        <v>1</v>
      </c>
      <c r="F61" s="11">
        <v>1</v>
      </c>
      <c r="G61" s="11">
        <v>2</v>
      </c>
      <c r="H61" s="11">
        <v>2</v>
      </c>
      <c r="I61" s="11">
        <v>1</v>
      </c>
      <c r="J61" s="11">
        <v>1</v>
      </c>
      <c r="K61" s="11">
        <v>2</v>
      </c>
      <c r="L61" s="11">
        <v>1</v>
      </c>
      <c r="M61" s="11">
        <v>2</v>
      </c>
      <c r="N61" s="11">
        <v>2</v>
      </c>
      <c r="O61" s="11">
        <v>1</v>
      </c>
      <c r="P61" s="11">
        <v>1</v>
      </c>
      <c r="Q61" s="11">
        <v>1</v>
      </c>
      <c r="R61" s="11">
        <v>2</v>
      </c>
      <c r="S61" s="11">
        <v>2</v>
      </c>
      <c r="T61" s="11">
        <v>1</v>
      </c>
      <c r="U61" s="11">
        <v>1</v>
      </c>
      <c r="V61" s="11">
        <v>2</v>
      </c>
      <c r="W61" s="11">
        <v>1</v>
      </c>
      <c r="X61" s="11">
        <v>2</v>
      </c>
      <c r="Y61" s="11">
        <v>2</v>
      </c>
      <c r="Z61" s="4">
        <f t="shared" si="7"/>
        <v>1.4</v>
      </c>
      <c r="AA61" s="4">
        <f t="shared" si="8"/>
        <v>1.5</v>
      </c>
      <c r="AB61" s="4">
        <f t="shared" si="9"/>
        <v>1.6</v>
      </c>
      <c r="AC61" s="4">
        <f t="shared" si="10"/>
        <v>1.4</v>
      </c>
      <c r="AD61" s="4">
        <f t="shared" si="11"/>
        <v>1.6</v>
      </c>
      <c r="AE61" s="4">
        <f t="shared" si="12"/>
        <v>1.5</v>
      </c>
      <c r="AF61" s="1" t="str">
        <f t="shared" si="13"/>
        <v>Complete</v>
      </c>
      <c r="AG61" s="3"/>
    </row>
    <row r="62" spans="1:33" ht="22.95" customHeight="1" thickBot="1">
      <c r="A62" s="1" t="s">
        <v>119</v>
      </c>
      <c r="B62" s="10">
        <v>1</v>
      </c>
      <c r="C62" s="11">
        <v>2</v>
      </c>
      <c r="D62" s="11">
        <v>1</v>
      </c>
      <c r="E62" s="11">
        <v>1</v>
      </c>
      <c r="F62" s="11">
        <v>2</v>
      </c>
      <c r="G62" s="11">
        <v>2</v>
      </c>
      <c r="H62" s="11">
        <v>1</v>
      </c>
      <c r="I62" s="11">
        <v>2</v>
      </c>
      <c r="J62" s="11">
        <v>1</v>
      </c>
      <c r="K62" s="11">
        <v>2</v>
      </c>
      <c r="L62" s="11">
        <v>2</v>
      </c>
      <c r="M62" s="11">
        <v>2</v>
      </c>
      <c r="N62" s="11">
        <v>1</v>
      </c>
      <c r="O62" s="11">
        <v>2</v>
      </c>
      <c r="P62" s="11">
        <v>1</v>
      </c>
      <c r="Q62" s="11">
        <v>1</v>
      </c>
      <c r="R62" s="11">
        <v>2</v>
      </c>
      <c r="S62" s="11">
        <v>2</v>
      </c>
      <c r="T62" s="11">
        <v>2</v>
      </c>
      <c r="U62" s="11">
        <v>1</v>
      </c>
      <c r="V62" s="11">
        <v>2</v>
      </c>
      <c r="W62" s="11">
        <v>1</v>
      </c>
      <c r="X62" s="11">
        <v>1</v>
      </c>
      <c r="Y62" s="11">
        <v>1</v>
      </c>
      <c r="Z62" s="4">
        <f t="shared" si="7"/>
        <v>1.4</v>
      </c>
      <c r="AA62" s="4">
        <f t="shared" si="8"/>
        <v>1.5</v>
      </c>
      <c r="AB62" s="4">
        <f t="shared" si="9"/>
        <v>1.8</v>
      </c>
      <c r="AC62" s="4">
        <f t="shared" si="10"/>
        <v>1.6</v>
      </c>
      <c r="AD62" s="4">
        <f t="shared" si="11"/>
        <v>1.2</v>
      </c>
      <c r="AE62" s="4">
        <f t="shared" si="12"/>
        <v>1.5000000000000002</v>
      </c>
      <c r="AF62" s="1" t="str">
        <f t="shared" si="13"/>
        <v>Complete</v>
      </c>
      <c r="AG62" s="3"/>
    </row>
    <row r="63" spans="1:33" ht="22.95" customHeight="1" thickBot="1">
      <c r="A63" s="1" t="s">
        <v>120</v>
      </c>
      <c r="B63" s="10">
        <v>1</v>
      </c>
      <c r="C63" s="11">
        <v>1</v>
      </c>
      <c r="D63" s="11">
        <v>1</v>
      </c>
      <c r="E63" s="11">
        <v>2</v>
      </c>
      <c r="F63" s="11">
        <v>2</v>
      </c>
      <c r="G63" s="11">
        <v>1</v>
      </c>
      <c r="H63" s="11">
        <v>2</v>
      </c>
      <c r="I63" s="11">
        <v>2</v>
      </c>
      <c r="J63" s="11">
        <v>1</v>
      </c>
      <c r="K63" s="11">
        <v>1</v>
      </c>
      <c r="L63" s="11">
        <v>1</v>
      </c>
      <c r="M63" s="11">
        <v>2</v>
      </c>
      <c r="N63" s="11">
        <v>2</v>
      </c>
      <c r="O63" s="11">
        <v>2</v>
      </c>
      <c r="P63" s="11">
        <v>1</v>
      </c>
      <c r="Q63" s="11">
        <v>2</v>
      </c>
      <c r="R63" s="11">
        <v>1</v>
      </c>
      <c r="S63" s="11">
        <v>1</v>
      </c>
      <c r="T63" s="11">
        <v>1</v>
      </c>
      <c r="U63" s="11">
        <v>1</v>
      </c>
      <c r="V63" s="11">
        <v>1</v>
      </c>
      <c r="W63" s="11">
        <v>2</v>
      </c>
      <c r="X63" s="11">
        <v>2</v>
      </c>
      <c r="Y63" s="11">
        <v>1</v>
      </c>
      <c r="Z63" s="4">
        <f t="shared" si="7"/>
        <v>1.4</v>
      </c>
      <c r="AA63" s="4">
        <f t="shared" si="8"/>
        <v>1.5</v>
      </c>
      <c r="AB63" s="4">
        <f t="shared" si="9"/>
        <v>1.6</v>
      </c>
      <c r="AC63" s="4">
        <f t="shared" si="10"/>
        <v>1.2</v>
      </c>
      <c r="AD63" s="4">
        <f t="shared" si="11"/>
        <v>1.4</v>
      </c>
      <c r="AE63" s="4">
        <f t="shared" si="12"/>
        <v>1.42</v>
      </c>
      <c r="AF63" s="1" t="str">
        <f t="shared" si="13"/>
        <v>Complete</v>
      </c>
      <c r="AG63" s="3"/>
    </row>
    <row r="64" spans="1:33" ht="22.95" customHeight="1" thickBot="1">
      <c r="A64" s="1" t="s">
        <v>121</v>
      </c>
      <c r="B64" s="10">
        <v>2</v>
      </c>
      <c r="C64" s="11">
        <v>1</v>
      </c>
      <c r="D64" s="11">
        <v>2</v>
      </c>
      <c r="E64" s="11">
        <v>2</v>
      </c>
      <c r="F64" s="11">
        <v>1</v>
      </c>
      <c r="G64" s="11">
        <v>1</v>
      </c>
      <c r="H64" s="11">
        <v>1</v>
      </c>
      <c r="I64" s="11">
        <v>1</v>
      </c>
      <c r="J64" s="11">
        <v>2</v>
      </c>
      <c r="K64" s="11">
        <v>2</v>
      </c>
      <c r="L64" s="11">
        <v>2</v>
      </c>
      <c r="M64" s="11">
        <v>1</v>
      </c>
      <c r="N64" s="11">
        <v>2</v>
      </c>
      <c r="O64" s="11">
        <v>2</v>
      </c>
      <c r="P64" s="11">
        <v>2</v>
      </c>
      <c r="Q64" s="11">
        <v>2</v>
      </c>
      <c r="R64" s="11">
        <v>2</v>
      </c>
      <c r="S64" s="11">
        <v>1</v>
      </c>
      <c r="T64" s="11">
        <v>1</v>
      </c>
      <c r="U64" s="11">
        <v>1</v>
      </c>
      <c r="V64" s="11">
        <v>2</v>
      </c>
      <c r="W64" s="11">
        <v>2</v>
      </c>
      <c r="X64" s="11">
        <v>1</v>
      </c>
      <c r="Y64" s="11">
        <v>2</v>
      </c>
      <c r="Z64" s="4">
        <f t="shared" si="7"/>
        <v>1.6</v>
      </c>
      <c r="AA64" s="4">
        <f t="shared" si="8"/>
        <v>1.25</v>
      </c>
      <c r="AB64" s="4">
        <f t="shared" si="9"/>
        <v>1.8</v>
      </c>
      <c r="AC64" s="4">
        <f t="shared" si="10"/>
        <v>1.6</v>
      </c>
      <c r="AD64" s="4">
        <f t="shared" si="11"/>
        <v>1.6</v>
      </c>
      <c r="AE64" s="4">
        <f t="shared" si="12"/>
        <v>1.5699999999999998</v>
      </c>
      <c r="AF64" s="1" t="str">
        <f t="shared" si="13"/>
        <v>Complete</v>
      </c>
      <c r="AG64" s="3"/>
    </row>
    <row r="65" spans="1:33" ht="22.95" customHeight="1" thickBot="1">
      <c r="A65" s="1" t="s">
        <v>122</v>
      </c>
      <c r="B65" s="10">
        <v>1</v>
      </c>
      <c r="C65" s="11">
        <v>1</v>
      </c>
      <c r="D65" s="11">
        <v>1</v>
      </c>
      <c r="E65" s="11">
        <v>2</v>
      </c>
      <c r="F65" s="11">
        <v>2</v>
      </c>
      <c r="G65" s="11">
        <v>1</v>
      </c>
      <c r="H65" s="11">
        <v>2</v>
      </c>
      <c r="I65" s="11">
        <v>2</v>
      </c>
      <c r="J65" s="11">
        <v>2</v>
      </c>
      <c r="K65" s="11">
        <v>1</v>
      </c>
      <c r="L65" s="11">
        <v>1</v>
      </c>
      <c r="M65" s="11">
        <v>2</v>
      </c>
      <c r="N65" s="11">
        <v>2</v>
      </c>
      <c r="O65" s="11">
        <v>1</v>
      </c>
      <c r="P65" s="11">
        <v>1</v>
      </c>
      <c r="Q65" s="11">
        <v>2</v>
      </c>
      <c r="R65" s="11">
        <v>2</v>
      </c>
      <c r="S65" s="11">
        <v>2</v>
      </c>
      <c r="T65" s="11">
        <v>1</v>
      </c>
      <c r="U65" s="11">
        <v>2</v>
      </c>
      <c r="V65" s="11">
        <v>2</v>
      </c>
      <c r="W65" s="11">
        <v>1</v>
      </c>
      <c r="X65" s="11">
        <v>2</v>
      </c>
      <c r="Y65" s="11">
        <v>1</v>
      </c>
      <c r="Z65" s="4">
        <f t="shared" si="7"/>
        <v>1.4</v>
      </c>
      <c r="AA65" s="4">
        <f t="shared" si="8"/>
        <v>1.75</v>
      </c>
      <c r="AB65" s="4">
        <f t="shared" si="9"/>
        <v>1.4</v>
      </c>
      <c r="AC65" s="4">
        <f t="shared" si="10"/>
        <v>1.6</v>
      </c>
      <c r="AD65" s="4">
        <f t="shared" si="11"/>
        <v>1.6</v>
      </c>
      <c r="AE65" s="4">
        <f t="shared" si="12"/>
        <v>1.55</v>
      </c>
      <c r="AF65" s="1" t="str">
        <f t="shared" si="13"/>
        <v>Complete</v>
      </c>
      <c r="AG65" s="3"/>
    </row>
    <row r="66" spans="1:33" ht="22.95" customHeight="1" thickBot="1">
      <c r="A66" s="1" t="s">
        <v>123</v>
      </c>
      <c r="B66" s="10">
        <v>1</v>
      </c>
      <c r="C66" s="11">
        <v>1</v>
      </c>
      <c r="D66" s="11">
        <v>1</v>
      </c>
      <c r="E66" s="11">
        <v>1</v>
      </c>
      <c r="F66" s="11">
        <v>1</v>
      </c>
      <c r="G66" s="11">
        <v>2</v>
      </c>
      <c r="H66" s="11">
        <v>1</v>
      </c>
      <c r="I66" s="11">
        <v>1</v>
      </c>
      <c r="J66" s="11">
        <v>1</v>
      </c>
      <c r="K66" s="11">
        <v>2</v>
      </c>
      <c r="L66" s="11">
        <v>2</v>
      </c>
      <c r="M66" s="11">
        <v>1</v>
      </c>
      <c r="N66" s="11">
        <v>2</v>
      </c>
      <c r="O66" s="11">
        <v>2</v>
      </c>
      <c r="P66" s="11">
        <v>1</v>
      </c>
      <c r="Q66" s="11">
        <v>2</v>
      </c>
      <c r="R66" s="11">
        <v>1</v>
      </c>
      <c r="S66" s="11">
        <v>2</v>
      </c>
      <c r="T66" s="11">
        <v>2</v>
      </c>
      <c r="U66" s="11">
        <v>1</v>
      </c>
      <c r="V66" s="11">
        <v>1</v>
      </c>
      <c r="W66" s="11">
        <v>1</v>
      </c>
      <c r="X66" s="11">
        <v>2</v>
      </c>
      <c r="Y66" s="11">
        <v>2</v>
      </c>
      <c r="Z66" s="4">
        <f t="shared" ref="Z66:Z71" si="14">IF($AF66="Complete",AVERAGE(B66:F66),"")</f>
        <v>1</v>
      </c>
      <c r="AA66" s="4">
        <f t="shared" ref="AA66:AA71" si="15">IF($AF66="Complete",AVERAGE(G66:J66),"")</f>
        <v>1.25</v>
      </c>
      <c r="AB66" s="4">
        <f t="shared" ref="AB66:AB71" si="16">IF($AF66="Complete",AVERAGE(K66:O66),"")</f>
        <v>1.8</v>
      </c>
      <c r="AC66" s="4">
        <f t="shared" ref="AC66:AC71" si="17">IF($AF66="Complete",AVERAGE(P66:T66),"")</f>
        <v>1.6</v>
      </c>
      <c r="AD66" s="4">
        <f t="shared" ref="AD66:AD71" si="18">IF($AF66="Complete",AVERAGE(U66:Y66),"")</f>
        <v>1.4</v>
      </c>
      <c r="AE66" s="4">
        <f t="shared" ref="AE66:AE71" si="19">IF($AF66="Complete",AVERAGE(Z66:AD66),"")</f>
        <v>1.4100000000000001</v>
      </c>
      <c r="AF66" s="1" t="str">
        <f t="shared" ref="AF66:AF71" si="20">IF(COUNTA(B66:Y66)=0,"Not entered",IF(AND(COUNT(B66:Y66)=24,COUNTIF(B66:Y66,1)+COUNTIF(B66:Y66,2)+COUNTIF(B66:Y66,3)+COUNTIF(B66:Y66,4)=24),"Complete","CHECK PAPER"))</f>
        <v>Complete</v>
      </c>
      <c r="AG66" s="3"/>
    </row>
    <row r="67" spans="1:33" ht="22.95" customHeight="1" thickBot="1">
      <c r="A67" s="1" t="s">
        <v>124</v>
      </c>
      <c r="B67" s="10">
        <v>1</v>
      </c>
      <c r="C67" s="11">
        <v>1</v>
      </c>
      <c r="D67" s="11">
        <v>1</v>
      </c>
      <c r="E67" s="11">
        <v>1</v>
      </c>
      <c r="F67" s="11">
        <v>1</v>
      </c>
      <c r="G67" s="11">
        <v>2</v>
      </c>
      <c r="H67" s="11">
        <v>2</v>
      </c>
      <c r="I67" s="11">
        <v>2</v>
      </c>
      <c r="J67" s="11">
        <v>2</v>
      </c>
      <c r="K67" s="11">
        <v>2</v>
      </c>
      <c r="L67" s="11">
        <v>1</v>
      </c>
      <c r="M67" s="11">
        <v>2</v>
      </c>
      <c r="N67" s="11">
        <v>2</v>
      </c>
      <c r="O67" s="11">
        <v>1</v>
      </c>
      <c r="P67" s="11">
        <v>2</v>
      </c>
      <c r="Q67" s="11">
        <v>2</v>
      </c>
      <c r="R67" s="11">
        <v>2</v>
      </c>
      <c r="S67" s="11">
        <v>1</v>
      </c>
      <c r="T67" s="11">
        <v>1</v>
      </c>
      <c r="U67" s="11">
        <v>2</v>
      </c>
      <c r="V67" s="11">
        <v>1</v>
      </c>
      <c r="W67" s="11">
        <v>1</v>
      </c>
      <c r="X67" s="11">
        <v>1</v>
      </c>
      <c r="Y67" s="11">
        <v>2</v>
      </c>
      <c r="Z67" s="4">
        <f t="shared" si="14"/>
        <v>1</v>
      </c>
      <c r="AA67" s="4">
        <f t="shared" si="15"/>
        <v>2</v>
      </c>
      <c r="AB67" s="4">
        <f t="shared" si="16"/>
        <v>1.6</v>
      </c>
      <c r="AC67" s="4">
        <f t="shared" si="17"/>
        <v>1.6</v>
      </c>
      <c r="AD67" s="4">
        <f t="shared" si="18"/>
        <v>1.4</v>
      </c>
      <c r="AE67" s="4">
        <f t="shared" si="19"/>
        <v>1.52</v>
      </c>
      <c r="AF67" s="1" t="str">
        <f t="shared" si="20"/>
        <v>Complete</v>
      </c>
      <c r="AG67" s="3"/>
    </row>
    <row r="68" spans="1:33" ht="22.95" customHeight="1" thickBot="1">
      <c r="A68" s="1" t="s">
        <v>125</v>
      </c>
      <c r="B68" s="10">
        <v>1</v>
      </c>
      <c r="C68" s="11">
        <v>1</v>
      </c>
      <c r="D68" s="11">
        <v>2</v>
      </c>
      <c r="E68" s="11">
        <v>2</v>
      </c>
      <c r="F68" s="11">
        <v>1</v>
      </c>
      <c r="G68" s="11">
        <v>2</v>
      </c>
      <c r="H68" s="11">
        <v>2</v>
      </c>
      <c r="I68" s="11">
        <v>2</v>
      </c>
      <c r="J68" s="11">
        <v>2</v>
      </c>
      <c r="K68" s="11">
        <v>2</v>
      </c>
      <c r="L68" s="11">
        <v>2</v>
      </c>
      <c r="M68" s="11">
        <v>1</v>
      </c>
      <c r="N68" s="11">
        <v>1</v>
      </c>
      <c r="O68" s="11">
        <v>2</v>
      </c>
      <c r="P68" s="11">
        <v>1</v>
      </c>
      <c r="Q68" s="11">
        <v>2</v>
      </c>
      <c r="R68" s="11">
        <v>2</v>
      </c>
      <c r="S68" s="11">
        <v>1</v>
      </c>
      <c r="T68" s="11">
        <v>1</v>
      </c>
      <c r="U68" s="11">
        <v>1</v>
      </c>
      <c r="V68" s="11">
        <v>1</v>
      </c>
      <c r="W68" s="11">
        <v>1</v>
      </c>
      <c r="X68" s="11">
        <v>2</v>
      </c>
      <c r="Y68" s="11">
        <v>1</v>
      </c>
      <c r="Z68" s="4">
        <f t="shared" si="14"/>
        <v>1.4</v>
      </c>
      <c r="AA68" s="4">
        <f t="shared" si="15"/>
        <v>2</v>
      </c>
      <c r="AB68" s="4">
        <f t="shared" si="16"/>
        <v>1.6</v>
      </c>
      <c r="AC68" s="4">
        <f t="shared" si="17"/>
        <v>1.4</v>
      </c>
      <c r="AD68" s="4">
        <f t="shared" si="18"/>
        <v>1.2</v>
      </c>
      <c r="AE68" s="4">
        <f t="shared" si="19"/>
        <v>1.52</v>
      </c>
      <c r="AF68" s="1" t="str">
        <f t="shared" si="20"/>
        <v>Complete</v>
      </c>
      <c r="AG68" s="3"/>
    </row>
    <row r="69" spans="1:33" ht="22.95" customHeight="1" thickBot="1">
      <c r="A69" s="1" t="s">
        <v>126</v>
      </c>
      <c r="B69" s="10">
        <v>2</v>
      </c>
      <c r="C69" s="11">
        <v>2</v>
      </c>
      <c r="D69" s="11">
        <v>2</v>
      </c>
      <c r="E69" s="11">
        <v>2</v>
      </c>
      <c r="F69" s="11">
        <v>1</v>
      </c>
      <c r="G69" s="11">
        <v>2</v>
      </c>
      <c r="H69" s="11">
        <v>1</v>
      </c>
      <c r="I69" s="11">
        <v>2</v>
      </c>
      <c r="J69" s="11">
        <v>1</v>
      </c>
      <c r="K69" s="11">
        <v>2</v>
      </c>
      <c r="L69" s="11">
        <v>2</v>
      </c>
      <c r="M69" s="11">
        <v>2</v>
      </c>
      <c r="N69" s="11">
        <v>1</v>
      </c>
      <c r="O69" s="11">
        <v>1</v>
      </c>
      <c r="P69" s="11">
        <v>1</v>
      </c>
      <c r="Q69" s="11">
        <v>1</v>
      </c>
      <c r="R69" s="11">
        <v>1</v>
      </c>
      <c r="S69" s="11">
        <v>2</v>
      </c>
      <c r="T69" s="11">
        <v>2</v>
      </c>
      <c r="U69" s="11">
        <v>2</v>
      </c>
      <c r="V69" s="11">
        <v>1</v>
      </c>
      <c r="W69" s="11">
        <v>2</v>
      </c>
      <c r="X69" s="11">
        <v>2</v>
      </c>
      <c r="Y69" s="11">
        <v>1</v>
      </c>
      <c r="Z69" s="4">
        <f t="shared" si="14"/>
        <v>1.8</v>
      </c>
      <c r="AA69" s="4">
        <f t="shared" si="15"/>
        <v>1.5</v>
      </c>
      <c r="AB69" s="4">
        <f t="shared" si="16"/>
        <v>1.6</v>
      </c>
      <c r="AC69" s="4">
        <f t="shared" si="17"/>
        <v>1.4</v>
      </c>
      <c r="AD69" s="4">
        <f t="shared" si="18"/>
        <v>1.6</v>
      </c>
      <c r="AE69" s="4">
        <f t="shared" si="19"/>
        <v>1.58</v>
      </c>
      <c r="AF69" s="1" t="str">
        <f t="shared" si="20"/>
        <v>Complete</v>
      </c>
      <c r="AG69" s="3"/>
    </row>
    <row r="70" spans="1:33" ht="22.95" customHeight="1" thickBot="1">
      <c r="A70" s="1" t="s">
        <v>127</v>
      </c>
      <c r="B70" s="10">
        <v>2</v>
      </c>
      <c r="C70" s="11">
        <v>2</v>
      </c>
      <c r="D70" s="11">
        <v>1</v>
      </c>
      <c r="E70" s="11">
        <v>1</v>
      </c>
      <c r="F70" s="11">
        <v>2</v>
      </c>
      <c r="G70" s="11">
        <v>3</v>
      </c>
      <c r="H70" s="11">
        <v>2</v>
      </c>
      <c r="I70" s="11">
        <v>2</v>
      </c>
      <c r="J70" s="11">
        <v>1</v>
      </c>
      <c r="K70" s="11">
        <v>2</v>
      </c>
      <c r="L70" s="11">
        <v>2</v>
      </c>
      <c r="M70" s="11">
        <v>2</v>
      </c>
      <c r="N70" s="11">
        <v>1</v>
      </c>
      <c r="O70" s="11">
        <v>2</v>
      </c>
      <c r="P70" s="11">
        <v>2</v>
      </c>
      <c r="Q70" s="11">
        <v>2</v>
      </c>
      <c r="R70" s="11">
        <v>2</v>
      </c>
      <c r="S70" s="11">
        <v>1</v>
      </c>
      <c r="T70" s="11">
        <v>1</v>
      </c>
      <c r="U70" s="11">
        <v>1</v>
      </c>
      <c r="V70" s="11">
        <v>1</v>
      </c>
      <c r="W70" s="11">
        <v>2</v>
      </c>
      <c r="X70" s="11">
        <v>2</v>
      </c>
      <c r="Y70" s="11">
        <v>1</v>
      </c>
      <c r="Z70" s="4">
        <f t="shared" si="14"/>
        <v>1.6</v>
      </c>
      <c r="AA70" s="4">
        <f t="shared" si="15"/>
        <v>2</v>
      </c>
      <c r="AB70" s="4">
        <f t="shared" si="16"/>
        <v>1.8</v>
      </c>
      <c r="AC70" s="4">
        <f t="shared" si="17"/>
        <v>1.6</v>
      </c>
      <c r="AD70" s="4">
        <f t="shared" si="18"/>
        <v>1.4</v>
      </c>
      <c r="AE70" s="4">
        <f t="shared" si="19"/>
        <v>1.6800000000000002</v>
      </c>
      <c r="AF70" s="1" t="str">
        <f t="shared" si="20"/>
        <v>Complete</v>
      </c>
      <c r="AG70" s="3"/>
    </row>
    <row r="71" spans="1:33" ht="22.95" customHeight="1" thickBot="1">
      <c r="A71" s="1" t="s">
        <v>128</v>
      </c>
      <c r="B71" s="10">
        <v>2</v>
      </c>
      <c r="C71" s="11">
        <v>3</v>
      </c>
      <c r="D71" s="11">
        <v>4</v>
      </c>
      <c r="E71" s="11">
        <v>4</v>
      </c>
      <c r="F71" s="11">
        <v>4</v>
      </c>
      <c r="G71" s="11">
        <v>1</v>
      </c>
      <c r="H71" s="11">
        <v>1</v>
      </c>
      <c r="I71" s="11">
        <v>1</v>
      </c>
      <c r="J71" s="11">
        <v>1</v>
      </c>
      <c r="K71" s="11">
        <v>4</v>
      </c>
      <c r="L71" s="11">
        <v>4</v>
      </c>
      <c r="M71" s="11">
        <v>4</v>
      </c>
      <c r="N71" s="11">
        <v>4</v>
      </c>
      <c r="O71" s="11">
        <v>4</v>
      </c>
      <c r="P71" s="11">
        <v>2</v>
      </c>
      <c r="Q71" s="11">
        <v>1</v>
      </c>
      <c r="R71" s="11">
        <v>2</v>
      </c>
      <c r="S71" s="11">
        <v>2</v>
      </c>
      <c r="T71" s="11">
        <v>2</v>
      </c>
      <c r="U71" s="11">
        <v>1</v>
      </c>
      <c r="V71" s="11">
        <v>2</v>
      </c>
      <c r="W71" s="11">
        <v>2</v>
      </c>
      <c r="X71" s="11">
        <v>2</v>
      </c>
      <c r="Y71" s="11">
        <v>1</v>
      </c>
      <c r="Z71" s="4">
        <f t="shared" si="14"/>
        <v>3.4</v>
      </c>
      <c r="AA71" s="4">
        <f t="shared" si="15"/>
        <v>1</v>
      </c>
      <c r="AB71" s="4">
        <f t="shared" si="16"/>
        <v>4</v>
      </c>
      <c r="AC71" s="4">
        <f t="shared" si="17"/>
        <v>1.8</v>
      </c>
      <c r="AD71" s="4">
        <f t="shared" si="18"/>
        <v>1.6</v>
      </c>
      <c r="AE71" s="4">
        <f t="shared" si="19"/>
        <v>2.3600000000000003</v>
      </c>
      <c r="AF71" s="1" t="str">
        <f t="shared" si="20"/>
        <v>Complete</v>
      </c>
      <c r="AG71" s="3"/>
    </row>
    <row r="72" spans="1:33" ht="22.9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22.9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34.950000000000003" customHeight="1">
      <c r="A74" s="14" t="s">
        <v>129</v>
      </c>
      <c r="B74" s="14" t="s">
        <v>129</v>
      </c>
      <c r="C74" s="14" t="s">
        <v>129</v>
      </c>
      <c r="D74" s="14" t="s">
        <v>129</v>
      </c>
      <c r="E74" s="14" t="s">
        <v>129</v>
      </c>
      <c r="F74" s="14" t="s">
        <v>129</v>
      </c>
      <c r="G74" s="14" t="s">
        <v>129</v>
      </c>
      <c r="H74" s="14" t="s">
        <v>129</v>
      </c>
      <c r="I74" s="14" t="s">
        <v>129</v>
      </c>
      <c r="J74" s="14" t="s">
        <v>129</v>
      </c>
      <c r="K74" s="14" t="s">
        <v>129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34.950000000000003" customHeight="1">
      <c r="A75" s="14" t="s">
        <v>130</v>
      </c>
      <c r="B75" s="14" t="s">
        <v>130</v>
      </c>
      <c r="C75" s="14" t="s">
        <v>130</v>
      </c>
      <c r="D75" s="14" t="s">
        <v>130</v>
      </c>
      <c r="E75" s="14" t="s">
        <v>130</v>
      </c>
      <c r="F75" s="14" t="s">
        <v>130</v>
      </c>
      <c r="G75" s="14" t="s">
        <v>130</v>
      </c>
      <c r="H75" s="14" t="s">
        <v>130</v>
      </c>
      <c r="I75" s="14" t="s">
        <v>130</v>
      </c>
      <c r="J75" s="14" t="s">
        <v>130</v>
      </c>
      <c r="K75" s="14" t="s">
        <v>130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22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43.05" customHeight="1">
      <c r="A77" s="2" t="s">
        <v>131</v>
      </c>
      <c r="B77" s="16" t="s">
        <v>132</v>
      </c>
      <c r="C77" s="16" t="s">
        <v>132</v>
      </c>
      <c r="D77" s="16" t="s">
        <v>132</v>
      </c>
      <c r="E77" s="16" t="s">
        <v>132</v>
      </c>
      <c r="F77" s="16" t="s">
        <v>132</v>
      </c>
      <c r="G77" s="16" t="s">
        <v>132</v>
      </c>
      <c r="H77" s="16" t="s">
        <v>132</v>
      </c>
      <c r="I77" s="16" t="s">
        <v>132</v>
      </c>
      <c r="J77" s="16" t="s">
        <v>132</v>
      </c>
      <c r="K77" s="16" t="s">
        <v>132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43.95" customHeight="1">
      <c r="A78" s="1" t="s">
        <v>33</v>
      </c>
      <c r="B78" s="14" t="s">
        <v>133</v>
      </c>
      <c r="C78" s="14" t="s">
        <v>133</v>
      </c>
      <c r="D78" s="14" t="s">
        <v>133</v>
      </c>
      <c r="E78" s="14" t="s">
        <v>133</v>
      </c>
      <c r="F78" s="14" t="s">
        <v>133</v>
      </c>
      <c r="G78" s="14" t="s">
        <v>133</v>
      </c>
      <c r="H78" s="14" t="s">
        <v>133</v>
      </c>
      <c r="I78" s="14" t="s">
        <v>133</v>
      </c>
      <c r="J78" s="14" t="s">
        <v>133</v>
      </c>
      <c r="K78" s="14" t="s">
        <v>133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43.95" customHeight="1">
      <c r="A79" s="1" t="s">
        <v>34</v>
      </c>
      <c r="B79" s="14" t="s">
        <v>134</v>
      </c>
      <c r="C79" s="14" t="s">
        <v>134</v>
      </c>
      <c r="D79" s="14" t="s">
        <v>134</v>
      </c>
      <c r="E79" s="14" t="s">
        <v>134</v>
      </c>
      <c r="F79" s="14" t="s">
        <v>134</v>
      </c>
      <c r="G79" s="14" t="s">
        <v>134</v>
      </c>
      <c r="H79" s="14" t="s">
        <v>134</v>
      </c>
      <c r="I79" s="14" t="s">
        <v>134</v>
      </c>
      <c r="J79" s="14" t="s">
        <v>134</v>
      </c>
      <c r="K79" s="14" t="s">
        <v>134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43.95" customHeight="1">
      <c r="A80" s="1" t="s">
        <v>35</v>
      </c>
      <c r="B80" s="14" t="s">
        <v>135</v>
      </c>
      <c r="C80" s="14" t="s">
        <v>135</v>
      </c>
      <c r="D80" s="14" t="s">
        <v>135</v>
      </c>
      <c r="E80" s="14" t="s">
        <v>135</v>
      </c>
      <c r="F80" s="14" t="s">
        <v>135</v>
      </c>
      <c r="G80" s="14" t="s">
        <v>135</v>
      </c>
      <c r="H80" s="14" t="s">
        <v>135</v>
      </c>
      <c r="I80" s="14" t="s">
        <v>135</v>
      </c>
      <c r="J80" s="14" t="s">
        <v>135</v>
      </c>
      <c r="K80" s="14" t="s">
        <v>135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43.95" customHeight="1">
      <c r="A81" s="1" t="s">
        <v>36</v>
      </c>
      <c r="B81" s="14" t="s">
        <v>136</v>
      </c>
      <c r="C81" s="14" t="s">
        <v>136</v>
      </c>
      <c r="D81" s="14" t="s">
        <v>136</v>
      </c>
      <c r="E81" s="14" t="s">
        <v>136</v>
      </c>
      <c r="F81" s="14" t="s">
        <v>136</v>
      </c>
      <c r="G81" s="14" t="s">
        <v>136</v>
      </c>
      <c r="H81" s="14" t="s">
        <v>136</v>
      </c>
      <c r="I81" s="14" t="s">
        <v>136</v>
      </c>
      <c r="J81" s="14" t="s">
        <v>136</v>
      </c>
      <c r="K81" s="14" t="s">
        <v>136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43.95" customHeight="1">
      <c r="A82" s="1" t="s">
        <v>37</v>
      </c>
      <c r="B82" s="14" t="s">
        <v>137</v>
      </c>
      <c r="C82" s="14" t="s">
        <v>137</v>
      </c>
      <c r="D82" s="14" t="s">
        <v>137</v>
      </c>
      <c r="E82" s="14" t="s">
        <v>137</v>
      </c>
      <c r="F82" s="14" t="s">
        <v>137</v>
      </c>
      <c r="G82" s="14" t="s">
        <v>137</v>
      </c>
      <c r="H82" s="14" t="s">
        <v>137</v>
      </c>
      <c r="I82" s="14" t="s">
        <v>137</v>
      </c>
      <c r="J82" s="14" t="s">
        <v>137</v>
      </c>
      <c r="K82" s="14" t="s">
        <v>137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43.95" customHeight="1">
      <c r="A83" s="1" t="s">
        <v>38</v>
      </c>
      <c r="B83" s="14" t="s">
        <v>138</v>
      </c>
      <c r="C83" s="14" t="s">
        <v>138</v>
      </c>
      <c r="D83" s="14" t="s">
        <v>138</v>
      </c>
      <c r="E83" s="14" t="s">
        <v>138</v>
      </c>
      <c r="F83" s="14" t="s">
        <v>138</v>
      </c>
      <c r="G83" s="14" t="s">
        <v>138</v>
      </c>
      <c r="H83" s="14" t="s">
        <v>138</v>
      </c>
      <c r="I83" s="14" t="s">
        <v>138</v>
      </c>
      <c r="J83" s="14" t="s">
        <v>138</v>
      </c>
      <c r="K83" s="14" t="s">
        <v>138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43.95" customHeight="1">
      <c r="A84" s="1" t="s">
        <v>39</v>
      </c>
      <c r="B84" s="14" t="s">
        <v>139</v>
      </c>
      <c r="C84" s="14" t="s">
        <v>139</v>
      </c>
      <c r="D84" s="14" t="s">
        <v>139</v>
      </c>
      <c r="E84" s="14" t="s">
        <v>139</v>
      </c>
      <c r="F84" s="14" t="s">
        <v>139</v>
      </c>
      <c r="G84" s="14" t="s">
        <v>139</v>
      </c>
      <c r="H84" s="14" t="s">
        <v>139</v>
      </c>
      <c r="I84" s="14" t="s">
        <v>139</v>
      </c>
      <c r="J84" s="14" t="s">
        <v>139</v>
      </c>
      <c r="K84" s="14" t="s">
        <v>139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43.95" customHeight="1">
      <c r="A85" s="1" t="s">
        <v>40</v>
      </c>
      <c r="B85" s="14" t="s">
        <v>140</v>
      </c>
      <c r="C85" s="14" t="s">
        <v>140</v>
      </c>
      <c r="D85" s="14" t="s">
        <v>140</v>
      </c>
      <c r="E85" s="14" t="s">
        <v>140</v>
      </c>
      <c r="F85" s="14" t="s">
        <v>140</v>
      </c>
      <c r="G85" s="14" t="s">
        <v>140</v>
      </c>
      <c r="H85" s="14" t="s">
        <v>140</v>
      </c>
      <c r="I85" s="14" t="s">
        <v>140</v>
      </c>
      <c r="J85" s="14" t="s">
        <v>140</v>
      </c>
      <c r="K85" s="14" t="s">
        <v>140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43.95" customHeight="1">
      <c r="A86" s="1" t="s">
        <v>41</v>
      </c>
      <c r="B86" s="14" t="s">
        <v>141</v>
      </c>
      <c r="C86" s="14" t="s">
        <v>141</v>
      </c>
      <c r="D86" s="14" t="s">
        <v>141</v>
      </c>
      <c r="E86" s="14" t="s">
        <v>141</v>
      </c>
      <c r="F86" s="14" t="s">
        <v>141</v>
      </c>
      <c r="G86" s="14" t="s">
        <v>141</v>
      </c>
      <c r="H86" s="14" t="s">
        <v>141</v>
      </c>
      <c r="I86" s="14" t="s">
        <v>141</v>
      </c>
      <c r="J86" s="14" t="s">
        <v>141</v>
      </c>
      <c r="K86" s="14" t="s">
        <v>141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43.95" customHeight="1">
      <c r="A87" s="1" t="s">
        <v>42</v>
      </c>
      <c r="B87" s="14" t="s">
        <v>142</v>
      </c>
      <c r="C87" s="14" t="s">
        <v>142</v>
      </c>
      <c r="D87" s="14" t="s">
        <v>142</v>
      </c>
      <c r="E87" s="14" t="s">
        <v>142</v>
      </c>
      <c r="F87" s="14" t="s">
        <v>142</v>
      </c>
      <c r="G87" s="14" t="s">
        <v>142</v>
      </c>
      <c r="H87" s="14" t="s">
        <v>142</v>
      </c>
      <c r="I87" s="14" t="s">
        <v>142</v>
      </c>
      <c r="J87" s="14" t="s">
        <v>142</v>
      </c>
      <c r="K87" s="14" t="s">
        <v>142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43.95" customHeight="1">
      <c r="A88" s="1" t="s">
        <v>43</v>
      </c>
      <c r="B88" s="14" t="s">
        <v>143</v>
      </c>
      <c r="C88" s="14" t="s">
        <v>143</v>
      </c>
      <c r="D88" s="14" t="s">
        <v>143</v>
      </c>
      <c r="E88" s="14" t="s">
        <v>143</v>
      </c>
      <c r="F88" s="14" t="s">
        <v>143</v>
      </c>
      <c r="G88" s="14" t="s">
        <v>143</v>
      </c>
      <c r="H88" s="14" t="s">
        <v>143</v>
      </c>
      <c r="I88" s="14" t="s">
        <v>143</v>
      </c>
      <c r="J88" s="14" t="s">
        <v>143</v>
      </c>
      <c r="K88" s="14" t="s">
        <v>143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43.95" customHeight="1">
      <c r="A89" s="1" t="s">
        <v>44</v>
      </c>
      <c r="B89" s="14" t="s">
        <v>144</v>
      </c>
      <c r="C89" s="14" t="s">
        <v>144</v>
      </c>
      <c r="D89" s="14" t="s">
        <v>144</v>
      </c>
      <c r="E89" s="14" t="s">
        <v>144</v>
      </c>
      <c r="F89" s="14" t="s">
        <v>144</v>
      </c>
      <c r="G89" s="14" t="s">
        <v>144</v>
      </c>
      <c r="H89" s="14" t="s">
        <v>144</v>
      </c>
      <c r="I89" s="14" t="s">
        <v>144</v>
      </c>
      <c r="J89" s="14" t="s">
        <v>144</v>
      </c>
      <c r="K89" s="14" t="s">
        <v>144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43.95" customHeight="1">
      <c r="A90" s="1" t="s">
        <v>45</v>
      </c>
      <c r="B90" s="14" t="s">
        <v>145</v>
      </c>
      <c r="C90" s="14" t="s">
        <v>145</v>
      </c>
      <c r="D90" s="14" t="s">
        <v>145</v>
      </c>
      <c r="E90" s="14" t="s">
        <v>145</v>
      </c>
      <c r="F90" s="14" t="s">
        <v>145</v>
      </c>
      <c r="G90" s="14" t="s">
        <v>145</v>
      </c>
      <c r="H90" s="14" t="s">
        <v>145</v>
      </c>
      <c r="I90" s="14" t="s">
        <v>145</v>
      </c>
      <c r="J90" s="14" t="s">
        <v>145</v>
      </c>
      <c r="K90" s="14" t="s">
        <v>145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43.95" customHeight="1">
      <c r="A91" s="1" t="s">
        <v>46</v>
      </c>
      <c r="B91" s="14" t="s">
        <v>146</v>
      </c>
      <c r="C91" s="14" t="s">
        <v>146</v>
      </c>
      <c r="D91" s="14" t="s">
        <v>146</v>
      </c>
      <c r="E91" s="14" t="s">
        <v>146</v>
      </c>
      <c r="F91" s="14" t="s">
        <v>146</v>
      </c>
      <c r="G91" s="14" t="s">
        <v>146</v>
      </c>
      <c r="H91" s="14" t="s">
        <v>146</v>
      </c>
      <c r="I91" s="14" t="s">
        <v>146</v>
      </c>
      <c r="J91" s="14" t="s">
        <v>146</v>
      </c>
      <c r="K91" s="14" t="s">
        <v>146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43.95" customHeight="1">
      <c r="A92" s="1" t="s">
        <v>47</v>
      </c>
      <c r="B92" s="14" t="s">
        <v>147</v>
      </c>
      <c r="C92" s="14" t="s">
        <v>147</v>
      </c>
      <c r="D92" s="14" t="s">
        <v>147</v>
      </c>
      <c r="E92" s="14" t="s">
        <v>147</v>
      </c>
      <c r="F92" s="14" t="s">
        <v>147</v>
      </c>
      <c r="G92" s="14" t="s">
        <v>147</v>
      </c>
      <c r="H92" s="14" t="s">
        <v>147</v>
      </c>
      <c r="I92" s="14" t="s">
        <v>147</v>
      </c>
      <c r="J92" s="14" t="s">
        <v>147</v>
      </c>
      <c r="K92" s="14" t="s">
        <v>147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43.95" customHeight="1">
      <c r="A93" s="1" t="s">
        <v>48</v>
      </c>
      <c r="B93" s="14" t="s">
        <v>148</v>
      </c>
      <c r="C93" s="14" t="s">
        <v>148</v>
      </c>
      <c r="D93" s="14" t="s">
        <v>148</v>
      </c>
      <c r="E93" s="14" t="s">
        <v>148</v>
      </c>
      <c r="F93" s="14" t="s">
        <v>148</v>
      </c>
      <c r="G93" s="14" t="s">
        <v>148</v>
      </c>
      <c r="H93" s="14" t="s">
        <v>148</v>
      </c>
      <c r="I93" s="14" t="s">
        <v>148</v>
      </c>
      <c r="J93" s="14" t="s">
        <v>148</v>
      </c>
      <c r="K93" s="14" t="s">
        <v>148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43.95" customHeight="1">
      <c r="A94" s="1" t="s">
        <v>49</v>
      </c>
      <c r="B94" s="14" t="s">
        <v>149</v>
      </c>
      <c r="C94" s="14" t="s">
        <v>149</v>
      </c>
      <c r="D94" s="14" t="s">
        <v>149</v>
      </c>
      <c r="E94" s="14" t="s">
        <v>149</v>
      </c>
      <c r="F94" s="14" t="s">
        <v>149</v>
      </c>
      <c r="G94" s="14" t="s">
        <v>149</v>
      </c>
      <c r="H94" s="14" t="s">
        <v>149</v>
      </c>
      <c r="I94" s="14" t="s">
        <v>149</v>
      </c>
      <c r="J94" s="14" t="s">
        <v>149</v>
      </c>
      <c r="K94" s="14" t="s">
        <v>149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43.95" customHeight="1">
      <c r="A95" s="1" t="s">
        <v>50</v>
      </c>
      <c r="B95" s="14" t="s">
        <v>150</v>
      </c>
      <c r="C95" s="14" t="s">
        <v>150</v>
      </c>
      <c r="D95" s="14" t="s">
        <v>150</v>
      </c>
      <c r="E95" s="14" t="s">
        <v>150</v>
      </c>
      <c r="F95" s="14" t="s">
        <v>150</v>
      </c>
      <c r="G95" s="14" t="s">
        <v>150</v>
      </c>
      <c r="H95" s="14" t="s">
        <v>150</v>
      </c>
      <c r="I95" s="14" t="s">
        <v>150</v>
      </c>
      <c r="J95" s="14" t="s">
        <v>150</v>
      </c>
      <c r="K95" s="14" t="s">
        <v>150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43.95" customHeight="1">
      <c r="A96" s="1" t="s">
        <v>51</v>
      </c>
      <c r="B96" s="14" t="s">
        <v>151</v>
      </c>
      <c r="C96" s="14" t="s">
        <v>151</v>
      </c>
      <c r="D96" s="14" t="s">
        <v>151</v>
      </c>
      <c r="E96" s="14" t="s">
        <v>151</v>
      </c>
      <c r="F96" s="14" t="s">
        <v>151</v>
      </c>
      <c r="G96" s="14" t="s">
        <v>151</v>
      </c>
      <c r="H96" s="14" t="s">
        <v>151</v>
      </c>
      <c r="I96" s="14" t="s">
        <v>151</v>
      </c>
      <c r="J96" s="14" t="s">
        <v>151</v>
      </c>
      <c r="K96" s="14" t="s">
        <v>151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43.95" customHeight="1">
      <c r="A97" s="1" t="s">
        <v>52</v>
      </c>
      <c r="B97" s="14" t="s">
        <v>152</v>
      </c>
      <c r="C97" s="14" t="s">
        <v>152</v>
      </c>
      <c r="D97" s="14" t="s">
        <v>152</v>
      </c>
      <c r="E97" s="14" t="s">
        <v>152</v>
      </c>
      <c r="F97" s="14" t="s">
        <v>152</v>
      </c>
      <c r="G97" s="14" t="s">
        <v>152</v>
      </c>
      <c r="H97" s="14" t="s">
        <v>152</v>
      </c>
      <c r="I97" s="14" t="s">
        <v>152</v>
      </c>
      <c r="J97" s="14" t="s">
        <v>152</v>
      </c>
      <c r="K97" s="14" t="s">
        <v>152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43.95" customHeight="1">
      <c r="A98" s="1" t="s">
        <v>53</v>
      </c>
      <c r="B98" s="14" t="s">
        <v>153</v>
      </c>
      <c r="C98" s="14" t="s">
        <v>153</v>
      </c>
      <c r="D98" s="14" t="s">
        <v>153</v>
      </c>
      <c r="E98" s="14" t="s">
        <v>153</v>
      </c>
      <c r="F98" s="14" t="s">
        <v>153</v>
      </c>
      <c r="G98" s="14" t="s">
        <v>153</v>
      </c>
      <c r="H98" s="14" t="s">
        <v>153</v>
      </c>
      <c r="I98" s="14" t="s">
        <v>153</v>
      </c>
      <c r="J98" s="14" t="s">
        <v>153</v>
      </c>
      <c r="K98" s="14" t="s">
        <v>153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43.95" customHeight="1">
      <c r="A99" s="1" t="s">
        <v>54</v>
      </c>
      <c r="B99" s="14" t="s">
        <v>154</v>
      </c>
      <c r="C99" s="14" t="s">
        <v>154</v>
      </c>
      <c r="D99" s="14" t="s">
        <v>154</v>
      </c>
      <c r="E99" s="14" t="s">
        <v>154</v>
      </c>
      <c r="F99" s="14" t="s">
        <v>154</v>
      </c>
      <c r="G99" s="14" t="s">
        <v>154</v>
      </c>
      <c r="H99" s="14" t="s">
        <v>154</v>
      </c>
      <c r="I99" s="14" t="s">
        <v>154</v>
      </c>
      <c r="J99" s="14" t="s">
        <v>154</v>
      </c>
      <c r="K99" s="14" t="s">
        <v>154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43.95" customHeight="1">
      <c r="A100" s="1" t="s">
        <v>55</v>
      </c>
      <c r="B100" s="14" t="s">
        <v>155</v>
      </c>
      <c r="C100" s="14" t="s">
        <v>155</v>
      </c>
      <c r="D100" s="14" t="s">
        <v>155</v>
      </c>
      <c r="E100" s="14" t="s">
        <v>155</v>
      </c>
      <c r="F100" s="14" t="s">
        <v>155</v>
      </c>
      <c r="G100" s="14" t="s">
        <v>155</v>
      </c>
      <c r="H100" s="14" t="s">
        <v>155</v>
      </c>
      <c r="I100" s="14" t="s">
        <v>155</v>
      </c>
      <c r="J100" s="14" t="s">
        <v>155</v>
      </c>
      <c r="K100" s="14" t="s">
        <v>155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43.95" customHeight="1">
      <c r="A101" s="1" t="s">
        <v>56</v>
      </c>
      <c r="B101" s="14" t="s">
        <v>156</v>
      </c>
      <c r="C101" s="14" t="s">
        <v>156</v>
      </c>
      <c r="D101" s="14" t="s">
        <v>156</v>
      </c>
      <c r="E101" s="14" t="s">
        <v>156</v>
      </c>
      <c r="F101" s="14" t="s">
        <v>156</v>
      </c>
      <c r="G101" s="14" t="s">
        <v>156</v>
      </c>
      <c r="H101" s="14" t="s">
        <v>156</v>
      </c>
      <c r="I101" s="14" t="s">
        <v>156</v>
      </c>
      <c r="J101" s="14" t="s">
        <v>156</v>
      </c>
      <c r="K101" s="14" t="s">
        <v>156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22.9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37.950000000000003" customHeight="1">
      <c r="A103" s="14" t="s">
        <v>157</v>
      </c>
      <c r="B103" s="14" t="s">
        <v>157</v>
      </c>
      <c r="C103" s="14" t="s">
        <v>157</v>
      </c>
      <c r="D103" s="14" t="s">
        <v>157</v>
      </c>
      <c r="E103" s="14" t="s">
        <v>157</v>
      </c>
      <c r="F103" s="14" t="s">
        <v>157</v>
      </c>
      <c r="G103" s="14" t="s">
        <v>157</v>
      </c>
      <c r="H103" s="14" t="s">
        <v>157</v>
      </c>
      <c r="I103" s="14" t="s">
        <v>157</v>
      </c>
      <c r="J103" s="14" t="s">
        <v>157</v>
      </c>
      <c r="K103" s="14" t="s">
        <v>157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22.9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22.9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</sheetData>
  <mergeCells count="28">
    <mergeCell ref="A74:K74"/>
    <mergeCell ref="A75:K75"/>
    <mergeCell ref="B77:K77"/>
    <mergeCell ref="B78:K78"/>
    <mergeCell ref="B79:K79"/>
    <mergeCell ref="B80:K80"/>
    <mergeCell ref="B81:K81"/>
    <mergeCell ref="B82:K82"/>
    <mergeCell ref="B83:K83"/>
    <mergeCell ref="B84:K84"/>
    <mergeCell ref="B85:K85"/>
    <mergeCell ref="B86:K86"/>
    <mergeCell ref="B87:K87"/>
    <mergeCell ref="B88:K88"/>
    <mergeCell ref="B89:K89"/>
    <mergeCell ref="B90:K90"/>
    <mergeCell ref="B91:K91"/>
    <mergeCell ref="B92:K92"/>
    <mergeCell ref="B93:K93"/>
    <mergeCell ref="B94:K94"/>
    <mergeCell ref="B100:K100"/>
    <mergeCell ref="B101:K101"/>
    <mergeCell ref="A103:K103"/>
    <mergeCell ref="B95:K95"/>
    <mergeCell ref="B96:K96"/>
    <mergeCell ref="B97:K97"/>
    <mergeCell ref="B98:K98"/>
    <mergeCell ref="B99:K9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5"/>
  <sheetViews>
    <sheetView showGridLines="0" tabSelected="1" workbookViewId="0">
      <pane ySplit="1" topLeftCell="A58" activePane="bottomLeft" state="frozen"/>
      <selection pane="bottomLeft" activeCell="B2" sqref="B2:Y71"/>
    </sheetView>
  </sheetViews>
  <sheetFormatPr defaultRowHeight="13.8"/>
  <cols>
    <col min="1" max="1" width="13" customWidth="1"/>
    <col min="2" max="25" width="7" customWidth="1"/>
    <col min="26" max="31" width="18" customWidth="1"/>
    <col min="32" max="32" width="20" customWidth="1"/>
    <col min="33" max="33" width="15" customWidth="1"/>
  </cols>
  <sheetData>
    <row r="1" spans="1:33" ht="43.05" customHeight="1" thickBot="1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49</v>
      </c>
      <c r="S1" s="2" t="s">
        <v>50</v>
      </c>
      <c r="T1" s="2" t="s">
        <v>51</v>
      </c>
      <c r="U1" s="2" t="s">
        <v>52</v>
      </c>
      <c r="V1" s="2" t="s">
        <v>53</v>
      </c>
      <c r="W1" s="2" t="s">
        <v>54</v>
      </c>
      <c r="X1" s="2" t="s">
        <v>55</v>
      </c>
      <c r="Y1" s="2" t="s">
        <v>56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57</v>
      </c>
      <c r="AG1" s="2" t="s">
        <v>58</v>
      </c>
    </row>
    <row r="2" spans="1:33" ht="22.95" customHeight="1" thickBot="1">
      <c r="A2" s="1" t="s">
        <v>158</v>
      </c>
      <c r="B2" s="6">
        <v>4</v>
      </c>
      <c r="C2" s="7">
        <v>4</v>
      </c>
      <c r="D2" s="7">
        <v>4</v>
      </c>
      <c r="E2" s="7">
        <v>4</v>
      </c>
      <c r="F2" s="7">
        <v>4</v>
      </c>
      <c r="G2" s="8">
        <v>4</v>
      </c>
      <c r="H2" s="8">
        <v>4</v>
      </c>
      <c r="I2" s="8">
        <v>4</v>
      </c>
      <c r="J2" s="8">
        <v>4</v>
      </c>
      <c r="K2" s="7">
        <v>4</v>
      </c>
      <c r="L2" s="7">
        <v>4</v>
      </c>
      <c r="M2" s="7">
        <v>4</v>
      </c>
      <c r="N2" s="7">
        <v>4</v>
      </c>
      <c r="O2" s="7">
        <v>4</v>
      </c>
      <c r="P2" s="9">
        <v>4</v>
      </c>
      <c r="Q2" s="9">
        <v>4</v>
      </c>
      <c r="R2" s="9">
        <v>4</v>
      </c>
      <c r="S2" s="9">
        <v>4</v>
      </c>
      <c r="T2" s="9">
        <v>4</v>
      </c>
      <c r="U2" s="7">
        <v>4</v>
      </c>
      <c r="V2" s="7">
        <v>4</v>
      </c>
      <c r="W2" s="7">
        <v>4</v>
      </c>
      <c r="X2" s="7">
        <v>4</v>
      </c>
      <c r="Y2" s="7">
        <v>4</v>
      </c>
      <c r="Z2" s="4">
        <f t="shared" ref="Z2:Z33" si="0">IF($AF2="Complete",AVERAGE(B2:F2),"")</f>
        <v>4</v>
      </c>
      <c r="AA2" s="4">
        <f t="shared" ref="AA2:AA33" si="1">IF($AF2="Complete",AVERAGE(G2:J2),"")</f>
        <v>4</v>
      </c>
      <c r="AB2" s="4">
        <f t="shared" ref="AB2:AB33" si="2">IF($AF2="Complete",AVERAGE(K2:O2),"")</f>
        <v>4</v>
      </c>
      <c r="AC2" s="4">
        <f t="shared" ref="AC2:AC33" si="3">IF($AF2="Complete",AVERAGE(P2:T2),"")</f>
        <v>4</v>
      </c>
      <c r="AD2" s="4">
        <f t="shared" ref="AD2:AD33" si="4">IF($AF2="Complete",AVERAGE(U2:Y2),"")</f>
        <v>4</v>
      </c>
      <c r="AE2" s="4">
        <f t="shared" ref="AE2:AE33" si="5">IF($AF2="Complete",AVERAGE(Z2:AD2),"")</f>
        <v>4</v>
      </c>
      <c r="AF2" s="1" t="str">
        <f t="shared" ref="AF2:AF33" si="6">IF(COUNTA(B2:Y2)=0,"Not entered",IF(AND(COUNT(B2:Y2)=24,COUNTIF(B2:Y2,1)+COUNTIF(B2:Y2,2)+COUNTIF(B2:Y2,3)+COUNTIF(B2:Y2,4)=24),"Complete","CHECK PAPER"))</f>
        <v>Complete</v>
      </c>
      <c r="AG2" s="3"/>
    </row>
    <row r="3" spans="1:33" ht="22.95" customHeight="1" thickBot="1">
      <c r="A3" s="1" t="s">
        <v>159</v>
      </c>
      <c r="B3" s="10">
        <v>4</v>
      </c>
      <c r="C3" s="11">
        <v>4</v>
      </c>
      <c r="D3" s="11">
        <v>4</v>
      </c>
      <c r="E3" s="11">
        <v>4</v>
      </c>
      <c r="F3" s="11">
        <v>4</v>
      </c>
      <c r="G3" s="12">
        <v>4</v>
      </c>
      <c r="H3" s="12">
        <v>4</v>
      </c>
      <c r="I3" s="12">
        <v>4</v>
      </c>
      <c r="J3" s="12">
        <v>4</v>
      </c>
      <c r="K3" s="11">
        <v>4</v>
      </c>
      <c r="L3" s="11">
        <v>4</v>
      </c>
      <c r="M3" s="11">
        <v>4</v>
      </c>
      <c r="N3" s="11">
        <v>4</v>
      </c>
      <c r="O3" s="11">
        <v>4</v>
      </c>
      <c r="P3" s="13">
        <v>4</v>
      </c>
      <c r="Q3" s="13">
        <v>4</v>
      </c>
      <c r="R3" s="13">
        <v>4</v>
      </c>
      <c r="S3" s="13">
        <v>4</v>
      </c>
      <c r="T3" s="13">
        <v>4</v>
      </c>
      <c r="U3" s="11">
        <v>4</v>
      </c>
      <c r="V3" s="11">
        <v>4</v>
      </c>
      <c r="W3" s="11">
        <v>4</v>
      </c>
      <c r="X3" s="11">
        <v>4</v>
      </c>
      <c r="Y3" s="11">
        <v>4</v>
      </c>
      <c r="Z3" s="4">
        <f t="shared" si="0"/>
        <v>4</v>
      </c>
      <c r="AA3" s="4">
        <f t="shared" si="1"/>
        <v>4</v>
      </c>
      <c r="AB3" s="4">
        <f t="shared" si="2"/>
        <v>4</v>
      </c>
      <c r="AC3" s="4">
        <f t="shared" si="3"/>
        <v>4</v>
      </c>
      <c r="AD3" s="4">
        <f t="shared" si="4"/>
        <v>4</v>
      </c>
      <c r="AE3" s="4">
        <f t="shared" si="5"/>
        <v>4</v>
      </c>
      <c r="AF3" s="1" t="str">
        <f t="shared" si="6"/>
        <v>Complete</v>
      </c>
      <c r="AG3" s="3"/>
    </row>
    <row r="4" spans="1:33" ht="22.95" customHeight="1" thickBot="1">
      <c r="A4" s="1" t="s">
        <v>160</v>
      </c>
      <c r="B4" s="10">
        <v>4</v>
      </c>
      <c r="C4" s="11">
        <v>4</v>
      </c>
      <c r="D4" s="11">
        <v>4</v>
      </c>
      <c r="E4" s="11">
        <v>4</v>
      </c>
      <c r="F4" s="11">
        <v>4</v>
      </c>
      <c r="G4" s="12">
        <v>4</v>
      </c>
      <c r="H4" s="12">
        <v>4</v>
      </c>
      <c r="I4" s="12">
        <v>4</v>
      </c>
      <c r="J4" s="12">
        <v>4</v>
      </c>
      <c r="K4" s="11">
        <v>4</v>
      </c>
      <c r="L4" s="11">
        <v>4</v>
      </c>
      <c r="M4" s="11">
        <v>4</v>
      </c>
      <c r="N4" s="11">
        <v>4</v>
      </c>
      <c r="O4" s="11">
        <v>4</v>
      </c>
      <c r="P4" s="13">
        <v>4</v>
      </c>
      <c r="Q4" s="13">
        <v>4</v>
      </c>
      <c r="R4" s="13">
        <v>4</v>
      </c>
      <c r="S4" s="13">
        <v>4</v>
      </c>
      <c r="T4" s="13">
        <v>4</v>
      </c>
      <c r="U4" s="11">
        <v>4</v>
      </c>
      <c r="V4" s="11">
        <v>4</v>
      </c>
      <c r="W4" s="11">
        <v>4</v>
      </c>
      <c r="X4" s="11">
        <v>4</v>
      </c>
      <c r="Y4" s="11">
        <v>4</v>
      </c>
      <c r="Z4" s="4">
        <f t="shared" si="0"/>
        <v>4</v>
      </c>
      <c r="AA4" s="4">
        <f t="shared" si="1"/>
        <v>4</v>
      </c>
      <c r="AB4" s="4">
        <f t="shared" si="2"/>
        <v>4</v>
      </c>
      <c r="AC4" s="4">
        <f t="shared" si="3"/>
        <v>4</v>
      </c>
      <c r="AD4" s="4">
        <f t="shared" si="4"/>
        <v>4</v>
      </c>
      <c r="AE4" s="4">
        <f t="shared" si="5"/>
        <v>4</v>
      </c>
      <c r="AF4" s="1" t="str">
        <f t="shared" si="6"/>
        <v>Complete</v>
      </c>
      <c r="AG4" s="3"/>
    </row>
    <row r="5" spans="1:33" ht="22.95" customHeight="1" thickBot="1">
      <c r="A5" s="1" t="s">
        <v>161</v>
      </c>
      <c r="B5" s="10">
        <v>4</v>
      </c>
      <c r="C5" s="11">
        <v>4</v>
      </c>
      <c r="D5" s="11">
        <v>4</v>
      </c>
      <c r="E5" s="11">
        <v>4</v>
      </c>
      <c r="F5" s="11">
        <v>4</v>
      </c>
      <c r="G5" s="12">
        <v>4</v>
      </c>
      <c r="H5" s="12">
        <v>4</v>
      </c>
      <c r="I5" s="12">
        <v>4</v>
      </c>
      <c r="J5" s="12">
        <v>4</v>
      </c>
      <c r="K5" s="11">
        <v>4</v>
      </c>
      <c r="L5" s="11">
        <v>3</v>
      </c>
      <c r="M5" s="11">
        <v>4</v>
      </c>
      <c r="N5" s="11">
        <v>4</v>
      </c>
      <c r="O5" s="11">
        <v>4</v>
      </c>
      <c r="P5" s="13">
        <v>3</v>
      </c>
      <c r="Q5" s="13">
        <v>3</v>
      </c>
      <c r="R5" s="13">
        <v>3</v>
      </c>
      <c r="S5" s="13">
        <v>3</v>
      </c>
      <c r="T5" s="13">
        <v>3</v>
      </c>
      <c r="U5" s="11">
        <v>4</v>
      </c>
      <c r="V5" s="11">
        <v>4</v>
      </c>
      <c r="W5" s="11">
        <v>4</v>
      </c>
      <c r="X5" s="11">
        <v>4</v>
      </c>
      <c r="Y5" s="11">
        <v>4</v>
      </c>
      <c r="Z5" s="4">
        <f t="shared" si="0"/>
        <v>4</v>
      </c>
      <c r="AA5" s="4">
        <f t="shared" si="1"/>
        <v>4</v>
      </c>
      <c r="AB5" s="4">
        <f t="shared" si="2"/>
        <v>3.8</v>
      </c>
      <c r="AC5" s="4">
        <f t="shared" si="3"/>
        <v>3</v>
      </c>
      <c r="AD5" s="4">
        <f t="shared" si="4"/>
        <v>4</v>
      </c>
      <c r="AE5" s="4">
        <f t="shared" si="5"/>
        <v>3.7600000000000002</v>
      </c>
      <c r="AF5" s="1" t="str">
        <f t="shared" si="6"/>
        <v>Complete</v>
      </c>
      <c r="AG5" s="3"/>
    </row>
    <row r="6" spans="1:33" ht="22.95" customHeight="1" thickBot="1">
      <c r="A6" s="1" t="s">
        <v>162</v>
      </c>
      <c r="B6" s="10">
        <v>4</v>
      </c>
      <c r="C6" s="11">
        <v>4</v>
      </c>
      <c r="D6" s="11">
        <v>4</v>
      </c>
      <c r="E6" s="11">
        <v>4</v>
      </c>
      <c r="F6" s="11">
        <v>4</v>
      </c>
      <c r="G6" s="12">
        <v>3</v>
      </c>
      <c r="H6" s="12">
        <v>4</v>
      </c>
      <c r="I6" s="12">
        <v>4</v>
      </c>
      <c r="J6" s="12">
        <v>4</v>
      </c>
      <c r="K6" s="11">
        <v>4</v>
      </c>
      <c r="L6" s="11">
        <v>4</v>
      </c>
      <c r="M6" s="11">
        <v>4</v>
      </c>
      <c r="N6" s="11">
        <v>4</v>
      </c>
      <c r="O6" s="11">
        <v>4</v>
      </c>
      <c r="P6" s="13">
        <v>3</v>
      </c>
      <c r="Q6" s="13">
        <v>3</v>
      </c>
      <c r="R6" s="13">
        <v>4</v>
      </c>
      <c r="S6" s="13">
        <v>4</v>
      </c>
      <c r="T6" s="13">
        <v>3</v>
      </c>
      <c r="U6" s="11">
        <v>3</v>
      </c>
      <c r="V6" s="11">
        <v>4</v>
      </c>
      <c r="W6" s="11">
        <v>4</v>
      </c>
      <c r="X6" s="11">
        <v>4</v>
      </c>
      <c r="Y6" s="11">
        <v>4</v>
      </c>
      <c r="Z6" s="4">
        <f t="shared" si="0"/>
        <v>4</v>
      </c>
      <c r="AA6" s="4">
        <f t="shared" si="1"/>
        <v>3.75</v>
      </c>
      <c r="AB6" s="4">
        <f t="shared" si="2"/>
        <v>4</v>
      </c>
      <c r="AC6" s="4">
        <f t="shared" si="3"/>
        <v>3.4</v>
      </c>
      <c r="AD6" s="4">
        <f t="shared" si="4"/>
        <v>3.8</v>
      </c>
      <c r="AE6" s="4">
        <f t="shared" si="5"/>
        <v>3.79</v>
      </c>
      <c r="AF6" s="1" t="str">
        <f t="shared" si="6"/>
        <v>Complete</v>
      </c>
      <c r="AG6" s="3"/>
    </row>
    <row r="7" spans="1:33" ht="22.95" customHeight="1" thickBot="1">
      <c r="A7" s="1" t="s">
        <v>163</v>
      </c>
      <c r="B7" s="10">
        <v>4</v>
      </c>
      <c r="C7" s="11">
        <v>4</v>
      </c>
      <c r="D7" s="11">
        <v>4</v>
      </c>
      <c r="E7" s="11">
        <v>4</v>
      </c>
      <c r="F7" s="11">
        <v>4</v>
      </c>
      <c r="G7" s="12">
        <v>4</v>
      </c>
      <c r="H7" s="12">
        <v>3</v>
      </c>
      <c r="I7" s="12">
        <v>3</v>
      </c>
      <c r="J7" s="12">
        <v>3</v>
      </c>
      <c r="K7" s="11">
        <v>3</v>
      </c>
      <c r="L7" s="11">
        <v>4</v>
      </c>
      <c r="M7" s="11">
        <v>4</v>
      </c>
      <c r="N7" s="11">
        <v>4</v>
      </c>
      <c r="O7" s="11">
        <v>4</v>
      </c>
      <c r="P7" s="13">
        <v>3</v>
      </c>
      <c r="Q7" s="13">
        <v>4</v>
      </c>
      <c r="R7" s="13">
        <v>4</v>
      </c>
      <c r="S7" s="13">
        <v>4</v>
      </c>
      <c r="T7" s="13">
        <v>4</v>
      </c>
      <c r="U7" s="11">
        <v>4</v>
      </c>
      <c r="V7" s="11">
        <v>4</v>
      </c>
      <c r="W7" s="11">
        <v>4</v>
      </c>
      <c r="X7" s="11">
        <v>4</v>
      </c>
      <c r="Y7" s="11">
        <v>4</v>
      </c>
      <c r="Z7" s="4">
        <f t="shared" si="0"/>
        <v>4</v>
      </c>
      <c r="AA7" s="4">
        <f t="shared" si="1"/>
        <v>3.25</v>
      </c>
      <c r="AB7" s="4">
        <f t="shared" si="2"/>
        <v>3.8</v>
      </c>
      <c r="AC7" s="4">
        <f t="shared" si="3"/>
        <v>3.8</v>
      </c>
      <c r="AD7" s="4">
        <f t="shared" si="4"/>
        <v>4</v>
      </c>
      <c r="AE7" s="4">
        <f t="shared" si="5"/>
        <v>3.7700000000000005</v>
      </c>
      <c r="AF7" s="1" t="str">
        <f t="shared" si="6"/>
        <v>Complete</v>
      </c>
      <c r="AG7" s="3"/>
    </row>
    <row r="8" spans="1:33" ht="22.95" customHeight="1" thickBot="1">
      <c r="A8" s="1" t="s">
        <v>164</v>
      </c>
      <c r="B8" s="10">
        <v>4</v>
      </c>
      <c r="C8" s="11">
        <v>4</v>
      </c>
      <c r="D8" s="11">
        <v>4</v>
      </c>
      <c r="E8" s="11">
        <v>4</v>
      </c>
      <c r="F8" s="11">
        <v>4</v>
      </c>
      <c r="G8" s="12">
        <v>4</v>
      </c>
      <c r="H8" s="12">
        <v>4</v>
      </c>
      <c r="I8" s="12">
        <v>4</v>
      </c>
      <c r="J8" s="12">
        <v>4</v>
      </c>
      <c r="K8" s="11">
        <v>4</v>
      </c>
      <c r="L8" s="11">
        <v>4</v>
      </c>
      <c r="M8" s="11">
        <v>4</v>
      </c>
      <c r="N8" s="11">
        <v>4</v>
      </c>
      <c r="O8" s="11">
        <v>4</v>
      </c>
      <c r="P8" s="13">
        <v>4</v>
      </c>
      <c r="Q8" s="13">
        <v>4</v>
      </c>
      <c r="R8" s="13">
        <v>4</v>
      </c>
      <c r="S8" s="13">
        <v>4</v>
      </c>
      <c r="T8" s="13">
        <v>4</v>
      </c>
      <c r="U8" s="11">
        <v>4</v>
      </c>
      <c r="V8" s="11">
        <v>4</v>
      </c>
      <c r="W8" s="11">
        <v>4</v>
      </c>
      <c r="X8" s="11">
        <v>4</v>
      </c>
      <c r="Y8" s="11">
        <v>4</v>
      </c>
      <c r="Z8" s="4">
        <f t="shared" si="0"/>
        <v>4</v>
      </c>
      <c r="AA8" s="4">
        <f t="shared" si="1"/>
        <v>4</v>
      </c>
      <c r="AB8" s="4">
        <f t="shared" si="2"/>
        <v>4</v>
      </c>
      <c r="AC8" s="4">
        <f t="shared" si="3"/>
        <v>4</v>
      </c>
      <c r="AD8" s="4">
        <f t="shared" si="4"/>
        <v>4</v>
      </c>
      <c r="AE8" s="4">
        <f t="shared" si="5"/>
        <v>4</v>
      </c>
      <c r="AF8" s="1" t="str">
        <f t="shared" si="6"/>
        <v>Complete</v>
      </c>
      <c r="AG8" s="3"/>
    </row>
    <row r="9" spans="1:33" ht="22.95" customHeight="1" thickBot="1">
      <c r="A9" s="1" t="s">
        <v>165</v>
      </c>
      <c r="B9" s="10">
        <v>4</v>
      </c>
      <c r="C9" s="11">
        <v>4</v>
      </c>
      <c r="D9" s="11">
        <v>4</v>
      </c>
      <c r="E9" s="11">
        <v>4</v>
      </c>
      <c r="F9" s="11">
        <v>4</v>
      </c>
      <c r="G9" s="12">
        <v>4</v>
      </c>
      <c r="H9" s="12">
        <v>4</v>
      </c>
      <c r="I9" s="12">
        <v>4</v>
      </c>
      <c r="J9" s="12">
        <v>4</v>
      </c>
      <c r="K9" s="11">
        <v>4</v>
      </c>
      <c r="L9" s="11">
        <v>4</v>
      </c>
      <c r="M9" s="11">
        <v>4</v>
      </c>
      <c r="N9" s="11">
        <v>4</v>
      </c>
      <c r="O9" s="11">
        <v>4</v>
      </c>
      <c r="P9" s="13">
        <v>4</v>
      </c>
      <c r="Q9" s="13">
        <v>4</v>
      </c>
      <c r="R9" s="13">
        <v>4</v>
      </c>
      <c r="S9" s="13">
        <v>4</v>
      </c>
      <c r="T9" s="13">
        <v>4</v>
      </c>
      <c r="U9" s="11">
        <v>4</v>
      </c>
      <c r="V9" s="11">
        <v>4</v>
      </c>
      <c r="W9" s="11">
        <v>4</v>
      </c>
      <c r="X9" s="11">
        <v>4</v>
      </c>
      <c r="Y9" s="11">
        <v>4</v>
      </c>
      <c r="Z9" s="4">
        <f t="shared" si="0"/>
        <v>4</v>
      </c>
      <c r="AA9" s="4">
        <f t="shared" si="1"/>
        <v>4</v>
      </c>
      <c r="AB9" s="4">
        <f t="shared" si="2"/>
        <v>4</v>
      </c>
      <c r="AC9" s="4">
        <f t="shared" si="3"/>
        <v>4</v>
      </c>
      <c r="AD9" s="4">
        <f t="shared" si="4"/>
        <v>4</v>
      </c>
      <c r="AE9" s="4">
        <f t="shared" si="5"/>
        <v>4</v>
      </c>
      <c r="AF9" s="1" t="str">
        <f t="shared" si="6"/>
        <v>Complete</v>
      </c>
      <c r="AG9" s="3"/>
    </row>
    <row r="10" spans="1:33" ht="22.95" customHeight="1" thickBot="1">
      <c r="A10" s="1" t="s">
        <v>166</v>
      </c>
      <c r="B10" s="10">
        <v>4</v>
      </c>
      <c r="C10" s="11">
        <v>4</v>
      </c>
      <c r="D10" s="11">
        <v>4</v>
      </c>
      <c r="E10" s="11">
        <v>4</v>
      </c>
      <c r="F10" s="11">
        <v>4</v>
      </c>
      <c r="G10" s="12">
        <v>4</v>
      </c>
      <c r="H10" s="12">
        <v>4</v>
      </c>
      <c r="I10" s="12">
        <v>4</v>
      </c>
      <c r="J10" s="12">
        <v>4</v>
      </c>
      <c r="K10" s="11">
        <v>4</v>
      </c>
      <c r="L10" s="11">
        <v>4</v>
      </c>
      <c r="M10" s="11">
        <v>4</v>
      </c>
      <c r="N10" s="11">
        <v>4</v>
      </c>
      <c r="O10" s="11">
        <v>4</v>
      </c>
      <c r="P10" s="13">
        <v>4</v>
      </c>
      <c r="Q10" s="13">
        <v>4</v>
      </c>
      <c r="R10" s="13">
        <v>4</v>
      </c>
      <c r="S10" s="13">
        <v>4</v>
      </c>
      <c r="T10" s="13">
        <v>4</v>
      </c>
      <c r="U10" s="11">
        <v>4</v>
      </c>
      <c r="V10" s="11">
        <v>4</v>
      </c>
      <c r="W10" s="11">
        <v>4</v>
      </c>
      <c r="X10" s="11">
        <v>4</v>
      </c>
      <c r="Y10" s="11">
        <v>4</v>
      </c>
      <c r="Z10" s="4">
        <f t="shared" si="0"/>
        <v>4</v>
      </c>
      <c r="AA10" s="4">
        <f t="shared" si="1"/>
        <v>4</v>
      </c>
      <c r="AB10" s="4">
        <f t="shared" si="2"/>
        <v>4</v>
      </c>
      <c r="AC10" s="4">
        <f t="shared" si="3"/>
        <v>4</v>
      </c>
      <c r="AD10" s="4">
        <f t="shared" si="4"/>
        <v>4</v>
      </c>
      <c r="AE10" s="4">
        <f t="shared" si="5"/>
        <v>4</v>
      </c>
      <c r="AF10" s="1" t="str">
        <f t="shared" si="6"/>
        <v>Complete</v>
      </c>
      <c r="AG10" s="3"/>
    </row>
    <row r="11" spans="1:33" ht="22.95" customHeight="1" thickBot="1">
      <c r="A11" s="1" t="s">
        <v>167</v>
      </c>
      <c r="B11" s="10">
        <v>4</v>
      </c>
      <c r="C11" s="11">
        <v>4</v>
      </c>
      <c r="D11" s="11">
        <v>4</v>
      </c>
      <c r="E11" s="11">
        <v>4</v>
      </c>
      <c r="F11" s="11">
        <v>4</v>
      </c>
      <c r="G11" s="12">
        <v>4</v>
      </c>
      <c r="H11" s="12">
        <v>4</v>
      </c>
      <c r="I11" s="12">
        <v>4</v>
      </c>
      <c r="J11" s="12">
        <v>4</v>
      </c>
      <c r="K11" s="11">
        <v>4</v>
      </c>
      <c r="L11" s="11">
        <v>4</v>
      </c>
      <c r="M11" s="11">
        <v>4</v>
      </c>
      <c r="N11" s="11">
        <v>4</v>
      </c>
      <c r="O11" s="11">
        <v>4</v>
      </c>
      <c r="P11" s="13">
        <v>4</v>
      </c>
      <c r="Q11" s="13">
        <v>4</v>
      </c>
      <c r="R11" s="13">
        <v>4</v>
      </c>
      <c r="S11" s="13">
        <v>4</v>
      </c>
      <c r="T11" s="13">
        <v>4</v>
      </c>
      <c r="U11" s="11">
        <v>4</v>
      </c>
      <c r="V11" s="11">
        <v>4</v>
      </c>
      <c r="W11" s="11">
        <v>4</v>
      </c>
      <c r="X11" s="11">
        <v>4</v>
      </c>
      <c r="Y11" s="11">
        <v>4</v>
      </c>
      <c r="Z11" s="4">
        <f t="shared" si="0"/>
        <v>4</v>
      </c>
      <c r="AA11" s="4">
        <f t="shared" si="1"/>
        <v>4</v>
      </c>
      <c r="AB11" s="4">
        <f t="shared" si="2"/>
        <v>4</v>
      </c>
      <c r="AC11" s="4">
        <f t="shared" si="3"/>
        <v>4</v>
      </c>
      <c r="AD11" s="4">
        <f t="shared" si="4"/>
        <v>4</v>
      </c>
      <c r="AE11" s="4">
        <f t="shared" si="5"/>
        <v>4</v>
      </c>
      <c r="AF11" s="1" t="str">
        <f t="shared" si="6"/>
        <v>Complete</v>
      </c>
      <c r="AG11" s="3"/>
    </row>
    <row r="12" spans="1:33" ht="22.95" customHeight="1" thickBot="1">
      <c r="A12" s="1" t="s">
        <v>168</v>
      </c>
      <c r="B12" s="10">
        <v>3</v>
      </c>
      <c r="C12" s="11">
        <v>4</v>
      </c>
      <c r="D12" s="11">
        <v>4</v>
      </c>
      <c r="E12" s="11">
        <v>3</v>
      </c>
      <c r="F12" s="11">
        <v>3</v>
      </c>
      <c r="G12" s="12">
        <v>4</v>
      </c>
      <c r="H12" s="12">
        <v>4</v>
      </c>
      <c r="I12" s="12">
        <v>4</v>
      </c>
      <c r="J12" s="12">
        <v>4</v>
      </c>
      <c r="K12" s="11">
        <v>4</v>
      </c>
      <c r="L12" s="11">
        <v>4</v>
      </c>
      <c r="M12" s="11">
        <v>4</v>
      </c>
      <c r="N12" s="11">
        <v>4</v>
      </c>
      <c r="O12" s="11">
        <v>4</v>
      </c>
      <c r="P12" s="13">
        <v>4</v>
      </c>
      <c r="Q12" s="13">
        <v>4</v>
      </c>
      <c r="R12" s="13">
        <v>4</v>
      </c>
      <c r="S12" s="13">
        <v>4</v>
      </c>
      <c r="T12" s="13">
        <v>4</v>
      </c>
      <c r="U12" s="11">
        <v>4</v>
      </c>
      <c r="V12" s="11">
        <v>4</v>
      </c>
      <c r="W12" s="11">
        <v>4</v>
      </c>
      <c r="X12" s="11">
        <v>4</v>
      </c>
      <c r="Y12" s="11">
        <v>4</v>
      </c>
      <c r="Z12" s="4">
        <f t="shared" si="0"/>
        <v>3.4</v>
      </c>
      <c r="AA12" s="4">
        <f t="shared" si="1"/>
        <v>4</v>
      </c>
      <c r="AB12" s="4">
        <f t="shared" si="2"/>
        <v>4</v>
      </c>
      <c r="AC12" s="4">
        <f t="shared" si="3"/>
        <v>4</v>
      </c>
      <c r="AD12" s="4">
        <f t="shared" si="4"/>
        <v>4</v>
      </c>
      <c r="AE12" s="4">
        <f t="shared" si="5"/>
        <v>3.88</v>
      </c>
      <c r="AF12" s="1" t="str">
        <f t="shared" si="6"/>
        <v>Complete</v>
      </c>
      <c r="AG12" s="3"/>
    </row>
    <row r="13" spans="1:33" ht="22.95" customHeight="1" thickBot="1">
      <c r="A13" s="1" t="s">
        <v>169</v>
      </c>
      <c r="B13" s="10">
        <v>4</v>
      </c>
      <c r="C13" s="11">
        <v>4</v>
      </c>
      <c r="D13" s="11">
        <v>4</v>
      </c>
      <c r="E13" s="11">
        <v>4</v>
      </c>
      <c r="F13" s="11">
        <v>4</v>
      </c>
      <c r="G13" s="12">
        <v>4</v>
      </c>
      <c r="H13" s="12">
        <v>4</v>
      </c>
      <c r="I13" s="12">
        <v>4</v>
      </c>
      <c r="J13" s="12">
        <v>4</v>
      </c>
      <c r="K13" s="11">
        <v>4</v>
      </c>
      <c r="L13" s="11">
        <v>4</v>
      </c>
      <c r="M13" s="11">
        <v>4</v>
      </c>
      <c r="N13" s="11">
        <v>3</v>
      </c>
      <c r="O13" s="11">
        <v>4</v>
      </c>
      <c r="P13" s="13">
        <v>4</v>
      </c>
      <c r="Q13" s="13">
        <v>4</v>
      </c>
      <c r="R13" s="13">
        <v>4</v>
      </c>
      <c r="S13" s="13">
        <v>4</v>
      </c>
      <c r="T13" s="13">
        <v>4</v>
      </c>
      <c r="U13" s="11">
        <v>4</v>
      </c>
      <c r="V13" s="11">
        <v>4</v>
      </c>
      <c r="W13" s="11">
        <v>4</v>
      </c>
      <c r="X13" s="11">
        <v>4</v>
      </c>
      <c r="Y13" s="11">
        <v>4</v>
      </c>
      <c r="Z13" s="4">
        <f t="shared" si="0"/>
        <v>4</v>
      </c>
      <c r="AA13" s="4">
        <f t="shared" si="1"/>
        <v>4</v>
      </c>
      <c r="AB13" s="4">
        <f t="shared" si="2"/>
        <v>3.8</v>
      </c>
      <c r="AC13" s="4">
        <f t="shared" si="3"/>
        <v>4</v>
      </c>
      <c r="AD13" s="4">
        <f t="shared" si="4"/>
        <v>4</v>
      </c>
      <c r="AE13" s="4">
        <f t="shared" si="5"/>
        <v>3.96</v>
      </c>
      <c r="AF13" s="1" t="str">
        <f t="shared" si="6"/>
        <v>Complete</v>
      </c>
      <c r="AG13" s="3"/>
    </row>
    <row r="14" spans="1:33" ht="22.95" customHeight="1" thickBot="1">
      <c r="A14" s="1" t="s">
        <v>170</v>
      </c>
      <c r="B14" s="10">
        <v>4</v>
      </c>
      <c r="C14" s="11">
        <v>4</v>
      </c>
      <c r="D14" s="11">
        <v>4</v>
      </c>
      <c r="E14" s="11">
        <v>4</v>
      </c>
      <c r="F14" s="11">
        <v>4</v>
      </c>
      <c r="G14" s="12">
        <v>4</v>
      </c>
      <c r="H14" s="12">
        <v>4</v>
      </c>
      <c r="I14" s="12">
        <v>3</v>
      </c>
      <c r="J14" s="12">
        <v>3</v>
      </c>
      <c r="K14" s="11">
        <v>4</v>
      </c>
      <c r="L14" s="11">
        <v>4</v>
      </c>
      <c r="M14" s="11">
        <v>3</v>
      </c>
      <c r="N14" s="11">
        <v>4</v>
      </c>
      <c r="O14" s="11">
        <v>3</v>
      </c>
      <c r="P14" s="13">
        <v>4</v>
      </c>
      <c r="Q14" s="13">
        <v>3</v>
      </c>
      <c r="R14" s="13">
        <v>4</v>
      </c>
      <c r="S14" s="13">
        <v>4</v>
      </c>
      <c r="T14" s="13">
        <v>4</v>
      </c>
      <c r="U14" s="11">
        <v>4</v>
      </c>
      <c r="V14" s="11">
        <v>4</v>
      </c>
      <c r="W14" s="11">
        <v>4</v>
      </c>
      <c r="X14" s="11">
        <v>4</v>
      </c>
      <c r="Y14" s="11">
        <v>4</v>
      </c>
      <c r="Z14" s="4">
        <f t="shared" si="0"/>
        <v>4</v>
      </c>
      <c r="AA14" s="4">
        <f t="shared" si="1"/>
        <v>3.5</v>
      </c>
      <c r="AB14" s="4">
        <f t="shared" si="2"/>
        <v>3.6</v>
      </c>
      <c r="AC14" s="4">
        <f t="shared" si="3"/>
        <v>3.8</v>
      </c>
      <c r="AD14" s="4">
        <f t="shared" si="4"/>
        <v>4</v>
      </c>
      <c r="AE14" s="4">
        <f t="shared" si="5"/>
        <v>3.78</v>
      </c>
      <c r="AF14" s="1" t="str">
        <f t="shared" si="6"/>
        <v>Complete</v>
      </c>
      <c r="AG14" s="3"/>
    </row>
    <row r="15" spans="1:33" ht="22.95" customHeight="1" thickBot="1">
      <c r="A15" s="1" t="s">
        <v>171</v>
      </c>
      <c r="B15" s="10">
        <v>4</v>
      </c>
      <c r="C15" s="11">
        <v>4</v>
      </c>
      <c r="D15" s="11">
        <v>3</v>
      </c>
      <c r="E15" s="11">
        <v>4</v>
      </c>
      <c r="F15" s="11">
        <v>4</v>
      </c>
      <c r="G15" s="12">
        <v>4</v>
      </c>
      <c r="H15" s="12">
        <v>4</v>
      </c>
      <c r="I15" s="12">
        <v>4</v>
      </c>
      <c r="J15" s="12">
        <v>4</v>
      </c>
      <c r="K15" s="11">
        <v>4</v>
      </c>
      <c r="L15" s="11">
        <v>4</v>
      </c>
      <c r="M15" s="11">
        <v>4</v>
      </c>
      <c r="N15" s="11">
        <v>2</v>
      </c>
      <c r="O15" s="11">
        <v>4</v>
      </c>
      <c r="P15" s="13">
        <v>4</v>
      </c>
      <c r="Q15" s="13">
        <v>3</v>
      </c>
      <c r="R15" s="13">
        <v>4</v>
      </c>
      <c r="S15" s="13">
        <v>4</v>
      </c>
      <c r="T15" s="13">
        <v>4</v>
      </c>
      <c r="U15" s="11">
        <v>4</v>
      </c>
      <c r="V15" s="11">
        <v>3</v>
      </c>
      <c r="W15" s="11">
        <v>4</v>
      </c>
      <c r="X15" s="11">
        <v>4</v>
      </c>
      <c r="Y15" s="11">
        <v>4</v>
      </c>
      <c r="Z15" s="4">
        <f t="shared" si="0"/>
        <v>3.8</v>
      </c>
      <c r="AA15" s="4">
        <f t="shared" si="1"/>
        <v>4</v>
      </c>
      <c r="AB15" s="4">
        <f t="shared" si="2"/>
        <v>3.6</v>
      </c>
      <c r="AC15" s="4">
        <f t="shared" si="3"/>
        <v>3.8</v>
      </c>
      <c r="AD15" s="4">
        <f t="shared" si="4"/>
        <v>3.8</v>
      </c>
      <c r="AE15" s="4">
        <f t="shared" si="5"/>
        <v>3.8</v>
      </c>
      <c r="AF15" s="1" t="str">
        <f t="shared" si="6"/>
        <v>Complete</v>
      </c>
      <c r="AG15" s="3"/>
    </row>
    <row r="16" spans="1:33" ht="22.95" customHeight="1" thickBot="1">
      <c r="A16" s="1" t="s">
        <v>172</v>
      </c>
      <c r="B16" s="10">
        <v>4</v>
      </c>
      <c r="C16" s="11">
        <v>4</v>
      </c>
      <c r="D16" s="11">
        <v>4</v>
      </c>
      <c r="E16" s="11">
        <v>4</v>
      </c>
      <c r="F16" s="11">
        <v>4</v>
      </c>
      <c r="G16" s="12">
        <v>4</v>
      </c>
      <c r="H16" s="12">
        <v>4</v>
      </c>
      <c r="I16" s="12">
        <v>4</v>
      </c>
      <c r="J16" s="12">
        <v>4</v>
      </c>
      <c r="K16" s="11">
        <v>4</v>
      </c>
      <c r="L16" s="11">
        <v>4</v>
      </c>
      <c r="M16" s="11">
        <v>4</v>
      </c>
      <c r="N16" s="11">
        <v>4</v>
      </c>
      <c r="O16" s="11">
        <v>4</v>
      </c>
      <c r="P16" s="13">
        <v>4</v>
      </c>
      <c r="Q16" s="13">
        <v>4</v>
      </c>
      <c r="R16" s="13">
        <v>4</v>
      </c>
      <c r="S16" s="13">
        <v>4</v>
      </c>
      <c r="T16" s="13">
        <v>4</v>
      </c>
      <c r="U16" s="11">
        <v>4</v>
      </c>
      <c r="V16" s="11">
        <v>4</v>
      </c>
      <c r="W16" s="11">
        <v>3</v>
      </c>
      <c r="X16" s="11">
        <v>4</v>
      </c>
      <c r="Y16" s="11">
        <v>4</v>
      </c>
      <c r="Z16" s="4">
        <f t="shared" si="0"/>
        <v>4</v>
      </c>
      <c r="AA16" s="4">
        <f t="shared" si="1"/>
        <v>4</v>
      </c>
      <c r="AB16" s="4">
        <f t="shared" si="2"/>
        <v>4</v>
      </c>
      <c r="AC16" s="4">
        <f t="shared" si="3"/>
        <v>4</v>
      </c>
      <c r="AD16" s="4">
        <f t="shared" si="4"/>
        <v>3.8</v>
      </c>
      <c r="AE16" s="4">
        <f t="shared" si="5"/>
        <v>3.96</v>
      </c>
      <c r="AF16" s="1" t="str">
        <f t="shared" si="6"/>
        <v>Complete</v>
      </c>
      <c r="AG16" s="3"/>
    </row>
    <row r="17" spans="1:33" ht="22.95" customHeight="1" thickBot="1">
      <c r="A17" s="1" t="s">
        <v>173</v>
      </c>
      <c r="B17" s="10">
        <v>4</v>
      </c>
      <c r="C17" s="11">
        <v>4</v>
      </c>
      <c r="D17" s="11">
        <v>4</v>
      </c>
      <c r="E17" s="11">
        <v>4</v>
      </c>
      <c r="F17" s="11">
        <v>4</v>
      </c>
      <c r="G17" s="12">
        <v>4</v>
      </c>
      <c r="H17" s="12">
        <v>4</v>
      </c>
      <c r="I17" s="12">
        <v>4</v>
      </c>
      <c r="J17" s="12">
        <v>4</v>
      </c>
      <c r="K17" s="11">
        <v>4</v>
      </c>
      <c r="L17" s="11">
        <v>4</v>
      </c>
      <c r="M17" s="11">
        <v>4</v>
      </c>
      <c r="N17" s="11">
        <v>4</v>
      </c>
      <c r="O17" s="11">
        <v>4</v>
      </c>
      <c r="P17" s="13">
        <v>4</v>
      </c>
      <c r="Q17" s="13">
        <v>4</v>
      </c>
      <c r="R17" s="13">
        <v>4</v>
      </c>
      <c r="S17" s="13">
        <v>4</v>
      </c>
      <c r="T17" s="13">
        <v>4</v>
      </c>
      <c r="U17" s="11">
        <v>3</v>
      </c>
      <c r="V17" s="11">
        <v>4</v>
      </c>
      <c r="W17" s="11">
        <v>3</v>
      </c>
      <c r="X17" s="11">
        <v>4</v>
      </c>
      <c r="Y17" s="11">
        <v>4</v>
      </c>
      <c r="Z17" s="4">
        <f t="shared" si="0"/>
        <v>4</v>
      </c>
      <c r="AA17" s="4">
        <f t="shared" si="1"/>
        <v>4</v>
      </c>
      <c r="AB17" s="4">
        <f t="shared" si="2"/>
        <v>4</v>
      </c>
      <c r="AC17" s="4">
        <f t="shared" si="3"/>
        <v>4</v>
      </c>
      <c r="AD17" s="4">
        <f t="shared" si="4"/>
        <v>3.6</v>
      </c>
      <c r="AE17" s="4">
        <f t="shared" si="5"/>
        <v>3.9200000000000004</v>
      </c>
      <c r="AF17" s="1" t="str">
        <f t="shared" si="6"/>
        <v>Complete</v>
      </c>
      <c r="AG17" s="3"/>
    </row>
    <row r="18" spans="1:33" ht="22.95" customHeight="1" thickBot="1">
      <c r="A18" s="1" t="s">
        <v>174</v>
      </c>
      <c r="B18" s="10">
        <v>4</v>
      </c>
      <c r="C18" s="11">
        <v>4</v>
      </c>
      <c r="D18" s="11">
        <v>4</v>
      </c>
      <c r="E18" s="11">
        <v>4</v>
      </c>
      <c r="F18" s="11">
        <v>4</v>
      </c>
      <c r="G18" s="12">
        <v>4</v>
      </c>
      <c r="H18" s="12">
        <v>3</v>
      </c>
      <c r="I18" s="12">
        <v>3</v>
      </c>
      <c r="J18" s="12">
        <v>3</v>
      </c>
      <c r="K18" s="11">
        <v>4</v>
      </c>
      <c r="L18" s="11">
        <v>3</v>
      </c>
      <c r="M18" s="11">
        <v>4</v>
      </c>
      <c r="N18" s="11">
        <v>3</v>
      </c>
      <c r="O18" s="11">
        <v>4</v>
      </c>
      <c r="P18" s="13">
        <v>3</v>
      </c>
      <c r="Q18" s="13">
        <v>4</v>
      </c>
      <c r="R18" s="13">
        <v>3</v>
      </c>
      <c r="S18" s="13">
        <v>3</v>
      </c>
      <c r="T18" s="13">
        <v>4</v>
      </c>
      <c r="U18" s="11">
        <v>3</v>
      </c>
      <c r="V18" s="11">
        <v>4</v>
      </c>
      <c r="W18" s="11">
        <v>3</v>
      </c>
      <c r="X18" s="11">
        <v>4</v>
      </c>
      <c r="Y18" s="11">
        <v>4</v>
      </c>
      <c r="Z18" s="4">
        <f t="shared" si="0"/>
        <v>4</v>
      </c>
      <c r="AA18" s="4">
        <f t="shared" si="1"/>
        <v>3.25</v>
      </c>
      <c r="AB18" s="4">
        <f t="shared" si="2"/>
        <v>3.6</v>
      </c>
      <c r="AC18" s="4">
        <f t="shared" si="3"/>
        <v>3.4</v>
      </c>
      <c r="AD18" s="4">
        <f t="shared" si="4"/>
        <v>3.6</v>
      </c>
      <c r="AE18" s="4">
        <f t="shared" si="5"/>
        <v>3.5700000000000003</v>
      </c>
      <c r="AF18" s="1" t="str">
        <f t="shared" si="6"/>
        <v>Complete</v>
      </c>
      <c r="AG18" s="3"/>
    </row>
    <row r="19" spans="1:33" ht="22.95" customHeight="1" thickBot="1">
      <c r="A19" s="1" t="s">
        <v>175</v>
      </c>
      <c r="B19" s="10">
        <v>3</v>
      </c>
      <c r="C19" s="11">
        <v>3</v>
      </c>
      <c r="D19" s="11">
        <v>3</v>
      </c>
      <c r="E19" s="11">
        <v>3</v>
      </c>
      <c r="F19" s="11">
        <v>4</v>
      </c>
      <c r="G19" s="12">
        <v>3</v>
      </c>
      <c r="H19" s="12">
        <v>3</v>
      </c>
      <c r="I19" s="12">
        <v>3</v>
      </c>
      <c r="J19" s="12">
        <v>3</v>
      </c>
      <c r="K19" s="11">
        <v>3</v>
      </c>
      <c r="L19" s="11">
        <v>3</v>
      </c>
      <c r="M19" s="11">
        <v>3</v>
      </c>
      <c r="N19" s="11">
        <v>3</v>
      </c>
      <c r="O19" s="11">
        <v>4</v>
      </c>
      <c r="P19" s="13">
        <v>3</v>
      </c>
      <c r="Q19" s="13">
        <v>4</v>
      </c>
      <c r="R19" s="13">
        <v>3</v>
      </c>
      <c r="S19" s="13">
        <v>3</v>
      </c>
      <c r="T19" s="13">
        <v>3</v>
      </c>
      <c r="U19" s="11">
        <v>3</v>
      </c>
      <c r="V19" s="11">
        <v>4</v>
      </c>
      <c r="W19" s="11">
        <v>3</v>
      </c>
      <c r="X19" s="11">
        <v>4</v>
      </c>
      <c r="Y19" s="11">
        <v>4</v>
      </c>
      <c r="Z19" s="4">
        <f t="shared" si="0"/>
        <v>3.2</v>
      </c>
      <c r="AA19" s="4">
        <f t="shared" si="1"/>
        <v>3</v>
      </c>
      <c r="AB19" s="4">
        <f t="shared" si="2"/>
        <v>3.2</v>
      </c>
      <c r="AC19" s="4">
        <f t="shared" si="3"/>
        <v>3.2</v>
      </c>
      <c r="AD19" s="4">
        <f t="shared" si="4"/>
        <v>3.6</v>
      </c>
      <c r="AE19" s="4">
        <f t="shared" si="5"/>
        <v>3.2400000000000007</v>
      </c>
      <c r="AF19" s="1" t="str">
        <f t="shared" si="6"/>
        <v>Complete</v>
      </c>
      <c r="AG19" s="3"/>
    </row>
    <row r="20" spans="1:33" ht="22.95" customHeight="1" thickBot="1">
      <c r="A20" s="1" t="s">
        <v>176</v>
      </c>
      <c r="B20" s="10">
        <v>4</v>
      </c>
      <c r="C20" s="11">
        <v>4</v>
      </c>
      <c r="D20" s="11">
        <v>4</v>
      </c>
      <c r="E20" s="11">
        <v>3</v>
      </c>
      <c r="F20" s="11">
        <v>4</v>
      </c>
      <c r="G20" s="12">
        <v>4</v>
      </c>
      <c r="H20" s="12">
        <v>3</v>
      </c>
      <c r="I20" s="12">
        <v>3</v>
      </c>
      <c r="J20" s="12">
        <v>4</v>
      </c>
      <c r="K20" s="11">
        <v>4</v>
      </c>
      <c r="L20" s="11">
        <v>3</v>
      </c>
      <c r="M20" s="11">
        <v>3</v>
      </c>
      <c r="N20" s="11">
        <v>4</v>
      </c>
      <c r="O20" s="11">
        <v>4</v>
      </c>
      <c r="P20" s="13">
        <v>3</v>
      </c>
      <c r="Q20" s="13">
        <v>4</v>
      </c>
      <c r="R20" s="13">
        <v>3</v>
      </c>
      <c r="S20" s="13">
        <v>4</v>
      </c>
      <c r="T20" s="13">
        <v>3</v>
      </c>
      <c r="U20" s="11">
        <v>3</v>
      </c>
      <c r="V20" s="11">
        <v>4</v>
      </c>
      <c r="W20" s="11">
        <v>3</v>
      </c>
      <c r="X20" s="11">
        <v>4</v>
      </c>
      <c r="Y20" s="11">
        <v>4</v>
      </c>
      <c r="Z20" s="4">
        <f t="shared" si="0"/>
        <v>3.8</v>
      </c>
      <c r="AA20" s="4">
        <f t="shared" si="1"/>
        <v>3.5</v>
      </c>
      <c r="AB20" s="4">
        <f t="shared" si="2"/>
        <v>3.6</v>
      </c>
      <c r="AC20" s="4">
        <f t="shared" si="3"/>
        <v>3.4</v>
      </c>
      <c r="AD20" s="4">
        <f t="shared" si="4"/>
        <v>3.6</v>
      </c>
      <c r="AE20" s="4">
        <f t="shared" si="5"/>
        <v>3.5800000000000005</v>
      </c>
      <c r="AF20" s="1" t="str">
        <f t="shared" si="6"/>
        <v>Complete</v>
      </c>
      <c r="AG20" s="3"/>
    </row>
    <row r="21" spans="1:33" ht="22.95" customHeight="1" thickBot="1">
      <c r="A21" s="1" t="s">
        <v>177</v>
      </c>
      <c r="B21" s="10">
        <v>3</v>
      </c>
      <c r="C21" s="11">
        <v>3</v>
      </c>
      <c r="D21" s="11">
        <v>3</v>
      </c>
      <c r="E21" s="11">
        <v>4</v>
      </c>
      <c r="F21" s="11">
        <v>3</v>
      </c>
      <c r="G21" s="12">
        <v>3</v>
      </c>
      <c r="H21" s="12">
        <v>4</v>
      </c>
      <c r="I21" s="12">
        <v>4</v>
      </c>
      <c r="J21" s="12">
        <v>3</v>
      </c>
      <c r="K21" s="11">
        <v>3</v>
      </c>
      <c r="L21" s="11">
        <v>4</v>
      </c>
      <c r="M21" s="11">
        <v>3</v>
      </c>
      <c r="N21" s="11">
        <v>4</v>
      </c>
      <c r="O21" s="11">
        <v>3</v>
      </c>
      <c r="P21" s="13">
        <v>3</v>
      </c>
      <c r="Q21" s="13">
        <v>4</v>
      </c>
      <c r="R21" s="13">
        <v>3</v>
      </c>
      <c r="S21" s="13">
        <v>4</v>
      </c>
      <c r="T21" s="13">
        <v>4</v>
      </c>
      <c r="U21" s="11">
        <v>3</v>
      </c>
      <c r="V21" s="11">
        <v>4</v>
      </c>
      <c r="W21" s="11">
        <v>3</v>
      </c>
      <c r="X21" s="11">
        <v>3</v>
      </c>
      <c r="Y21" s="11">
        <v>4</v>
      </c>
      <c r="Z21" s="4">
        <f t="shared" si="0"/>
        <v>3.2</v>
      </c>
      <c r="AA21" s="4">
        <f t="shared" si="1"/>
        <v>3.5</v>
      </c>
      <c r="AB21" s="4">
        <f t="shared" si="2"/>
        <v>3.4</v>
      </c>
      <c r="AC21" s="4">
        <f t="shared" si="3"/>
        <v>3.6</v>
      </c>
      <c r="AD21" s="4">
        <f t="shared" si="4"/>
        <v>3.4</v>
      </c>
      <c r="AE21" s="4">
        <f t="shared" si="5"/>
        <v>3.4199999999999995</v>
      </c>
      <c r="AF21" s="1" t="str">
        <f t="shared" si="6"/>
        <v>Complete</v>
      </c>
      <c r="AG21" s="3"/>
    </row>
    <row r="22" spans="1:33" ht="22.95" customHeight="1" thickBot="1">
      <c r="A22" s="1" t="s">
        <v>178</v>
      </c>
      <c r="B22" s="10">
        <v>4</v>
      </c>
      <c r="C22" s="11">
        <v>4</v>
      </c>
      <c r="D22" s="11">
        <v>4</v>
      </c>
      <c r="E22" s="11">
        <v>3</v>
      </c>
      <c r="F22" s="11">
        <v>4</v>
      </c>
      <c r="G22" s="12">
        <v>4</v>
      </c>
      <c r="H22" s="12">
        <v>4</v>
      </c>
      <c r="I22" s="12">
        <v>4</v>
      </c>
      <c r="J22" s="12">
        <v>4</v>
      </c>
      <c r="K22" s="11">
        <v>4</v>
      </c>
      <c r="L22" s="11">
        <v>4</v>
      </c>
      <c r="M22" s="11">
        <v>3</v>
      </c>
      <c r="N22" s="11">
        <v>4</v>
      </c>
      <c r="O22" s="11">
        <v>4</v>
      </c>
      <c r="P22" s="13">
        <v>3</v>
      </c>
      <c r="Q22" s="13">
        <v>3</v>
      </c>
      <c r="R22" s="13">
        <v>3</v>
      </c>
      <c r="S22" s="13">
        <v>3</v>
      </c>
      <c r="T22" s="13">
        <v>4</v>
      </c>
      <c r="U22" s="11">
        <v>4</v>
      </c>
      <c r="V22" s="11">
        <v>4</v>
      </c>
      <c r="W22" s="11">
        <v>4</v>
      </c>
      <c r="X22" s="11">
        <v>3</v>
      </c>
      <c r="Y22" s="11">
        <v>4</v>
      </c>
      <c r="Z22" s="4">
        <f t="shared" si="0"/>
        <v>3.8</v>
      </c>
      <c r="AA22" s="4">
        <f t="shared" si="1"/>
        <v>4</v>
      </c>
      <c r="AB22" s="4">
        <f t="shared" si="2"/>
        <v>3.8</v>
      </c>
      <c r="AC22" s="4">
        <f t="shared" si="3"/>
        <v>3.2</v>
      </c>
      <c r="AD22" s="4">
        <f t="shared" si="4"/>
        <v>3.8</v>
      </c>
      <c r="AE22" s="4">
        <f t="shared" si="5"/>
        <v>3.72</v>
      </c>
      <c r="AF22" s="1" t="str">
        <f t="shared" si="6"/>
        <v>Complete</v>
      </c>
      <c r="AG22" s="3"/>
    </row>
    <row r="23" spans="1:33" ht="22.95" customHeight="1" thickBot="1">
      <c r="A23" s="1" t="s">
        <v>179</v>
      </c>
      <c r="B23" s="10">
        <v>4</v>
      </c>
      <c r="C23" s="11">
        <v>4</v>
      </c>
      <c r="D23" s="11">
        <v>4</v>
      </c>
      <c r="E23" s="11">
        <v>4</v>
      </c>
      <c r="F23" s="11">
        <v>3</v>
      </c>
      <c r="G23" s="12">
        <v>3</v>
      </c>
      <c r="H23" s="12">
        <v>3</v>
      </c>
      <c r="I23" s="12">
        <v>4</v>
      </c>
      <c r="J23" s="12">
        <v>3</v>
      </c>
      <c r="K23" s="11">
        <v>4</v>
      </c>
      <c r="L23" s="11">
        <v>4</v>
      </c>
      <c r="M23" s="11">
        <v>4</v>
      </c>
      <c r="N23" s="11">
        <v>4</v>
      </c>
      <c r="O23" s="11">
        <v>4</v>
      </c>
      <c r="P23" s="13">
        <v>4</v>
      </c>
      <c r="Q23" s="13">
        <v>4</v>
      </c>
      <c r="R23" s="13">
        <v>4</v>
      </c>
      <c r="S23" s="13">
        <v>4</v>
      </c>
      <c r="T23" s="13">
        <v>4</v>
      </c>
      <c r="U23" s="11">
        <v>3</v>
      </c>
      <c r="V23" s="11">
        <v>4</v>
      </c>
      <c r="W23" s="11">
        <v>4</v>
      </c>
      <c r="X23" s="11">
        <v>3</v>
      </c>
      <c r="Y23" s="11">
        <v>4</v>
      </c>
      <c r="Z23" s="4">
        <f t="shared" si="0"/>
        <v>3.8</v>
      </c>
      <c r="AA23" s="4">
        <f t="shared" si="1"/>
        <v>3.25</v>
      </c>
      <c r="AB23" s="4">
        <f t="shared" si="2"/>
        <v>4</v>
      </c>
      <c r="AC23" s="4">
        <f t="shared" si="3"/>
        <v>4</v>
      </c>
      <c r="AD23" s="4">
        <f t="shared" si="4"/>
        <v>3.6</v>
      </c>
      <c r="AE23" s="4">
        <f t="shared" si="5"/>
        <v>3.7300000000000004</v>
      </c>
      <c r="AF23" s="1" t="str">
        <f t="shared" si="6"/>
        <v>Complete</v>
      </c>
      <c r="AG23" s="3"/>
    </row>
    <row r="24" spans="1:33" ht="22.95" customHeight="1" thickBot="1">
      <c r="A24" s="1" t="s">
        <v>180</v>
      </c>
      <c r="B24" s="10">
        <v>3</v>
      </c>
      <c r="C24" s="11">
        <v>3</v>
      </c>
      <c r="D24" s="11">
        <v>3</v>
      </c>
      <c r="E24" s="11">
        <v>3</v>
      </c>
      <c r="F24" s="11">
        <v>3</v>
      </c>
      <c r="G24" s="12">
        <v>3</v>
      </c>
      <c r="H24" s="12">
        <v>3</v>
      </c>
      <c r="I24" s="12">
        <v>3</v>
      </c>
      <c r="J24" s="12">
        <v>3</v>
      </c>
      <c r="K24" s="11">
        <v>3</v>
      </c>
      <c r="L24" s="11">
        <v>2</v>
      </c>
      <c r="M24" s="11">
        <v>3</v>
      </c>
      <c r="N24" s="11">
        <v>3</v>
      </c>
      <c r="O24" s="11">
        <v>3</v>
      </c>
      <c r="P24" s="13">
        <v>3</v>
      </c>
      <c r="Q24" s="13">
        <v>3</v>
      </c>
      <c r="R24" s="13">
        <v>3</v>
      </c>
      <c r="S24" s="13">
        <v>3</v>
      </c>
      <c r="T24" s="13">
        <v>3</v>
      </c>
      <c r="U24" s="11">
        <v>3</v>
      </c>
      <c r="V24" s="11">
        <v>3</v>
      </c>
      <c r="W24" s="11">
        <v>3</v>
      </c>
      <c r="X24" s="11">
        <v>3</v>
      </c>
      <c r="Y24" s="11">
        <v>3</v>
      </c>
      <c r="Z24" s="4">
        <f t="shared" si="0"/>
        <v>3</v>
      </c>
      <c r="AA24" s="4">
        <f t="shared" si="1"/>
        <v>3</v>
      </c>
      <c r="AB24" s="4">
        <f t="shared" si="2"/>
        <v>2.8</v>
      </c>
      <c r="AC24" s="4">
        <f t="shared" si="3"/>
        <v>3</v>
      </c>
      <c r="AD24" s="4">
        <f t="shared" si="4"/>
        <v>3</v>
      </c>
      <c r="AE24" s="4">
        <f t="shared" si="5"/>
        <v>2.96</v>
      </c>
      <c r="AF24" s="1" t="str">
        <f t="shared" si="6"/>
        <v>Complete</v>
      </c>
      <c r="AG24" s="3"/>
    </row>
    <row r="25" spans="1:33" ht="22.95" customHeight="1" thickBot="1">
      <c r="A25" s="1" t="s">
        <v>181</v>
      </c>
      <c r="B25" s="10">
        <v>4</v>
      </c>
      <c r="C25" s="11">
        <v>4</v>
      </c>
      <c r="D25" s="11">
        <v>4</v>
      </c>
      <c r="E25" s="11">
        <v>4</v>
      </c>
      <c r="F25" s="11">
        <v>4</v>
      </c>
      <c r="G25" s="12">
        <v>4</v>
      </c>
      <c r="H25" s="12">
        <v>4</v>
      </c>
      <c r="I25" s="12">
        <v>4</v>
      </c>
      <c r="J25" s="12">
        <v>4</v>
      </c>
      <c r="K25" s="11">
        <v>4</v>
      </c>
      <c r="L25" s="11">
        <v>4</v>
      </c>
      <c r="M25" s="11">
        <v>4</v>
      </c>
      <c r="N25" s="11">
        <v>4</v>
      </c>
      <c r="O25" s="11">
        <v>4</v>
      </c>
      <c r="P25" s="13">
        <v>4</v>
      </c>
      <c r="Q25" s="13">
        <v>4</v>
      </c>
      <c r="R25" s="13">
        <v>3</v>
      </c>
      <c r="S25" s="13">
        <v>4</v>
      </c>
      <c r="T25" s="13">
        <v>4</v>
      </c>
      <c r="U25" s="11">
        <v>3</v>
      </c>
      <c r="V25" s="11">
        <v>3</v>
      </c>
      <c r="W25" s="11">
        <v>3</v>
      </c>
      <c r="X25" s="11">
        <v>3</v>
      </c>
      <c r="Y25" s="11">
        <v>3</v>
      </c>
      <c r="Z25" s="4">
        <f t="shared" si="0"/>
        <v>4</v>
      </c>
      <c r="AA25" s="4">
        <f t="shared" si="1"/>
        <v>4</v>
      </c>
      <c r="AB25" s="4">
        <f t="shared" si="2"/>
        <v>4</v>
      </c>
      <c r="AC25" s="4">
        <f t="shared" si="3"/>
        <v>3.8</v>
      </c>
      <c r="AD25" s="4">
        <f t="shared" si="4"/>
        <v>3</v>
      </c>
      <c r="AE25" s="4">
        <f t="shared" si="5"/>
        <v>3.7600000000000002</v>
      </c>
      <c r="AF25" s="1" t="str">
        <f t="shared" si="6"/>
        <v>Complete</v>
      </c>
      <c r="AG25" s="3"/>
    </row>
    <row r="26" spans="1:33" ht="22.95" customHeight="1" thickBot="1">
      <c r="A26" s="1" t="s">
        <v>182</v>
      </c>
      <c r="B26" s="10">
        <v>4</v>
      </c>
      <c r="C26" s="11">
        <v>4</v>
      </c>
      <c r="D26" s="11">
        <v>4</v>
      </c>
      <c r="E26" s="11">
        <v>3</v>
      </c>
      <c r="F26" s="11">
        <v>4</v>
      </c>
      <c r="G26" s="12">
        <v>4</v>
      </c>
      <c r="H26" s="12">
        <v>4</v>
      </c>
      <c r="I26" s="12">
        <v>4</v>
      </c>
      <c r="J26" s="12">
        <v>4</v>
      </c>
      <c r="K26" s="11">
        <v>4</v>
      </c>
      <c r="L26" s="11">
        <v>3</v>
      </c>
      <c r="M26" s="11">
        <v>3</v>
      </c>
      <c r="N26" s="11">
        <v>3</v>
      </c>
      <c r="O26" s="11">
        <v>4</v>
      </c>
      <c r="P26" s="13">
        <v>3</v>
      </c>
      <c r="Q26" s="13">
        <v>4</v>
      </c>
      <c r="R26" s="13">
        <v>3</v>
      </c>
      <c r="S26" s="13">
        <v>4</v>
      </c>
      <c r="T26" s="13">
        <v>3</v>
      </c>
      <c r="U26" s="11">
        <v>4</v>
      </c>
      <c r="V26" s="11">
        <v>4</v>
      </c>
      <c r="W26" s="11">
        <v>4</v>
      </c>
      <c r="X26" s="11">
        <v>4</v>
      </c>
      <c r="Y26" s="11">
        <v>4</v>
      </c>
      <c r="Z26" s="4">
        <f t="shared" si="0"/>
        <v>3.8</v>
      </c>
      <c r="AA26" s="4">
        <f t="shared" si="1"/>
        <v>4</v>
      </c>
      <c r="AB26" s="4">
        <f t="shared" si="2"/>
        <v>3.4</v>
      </c>
      <c r="AC26" s="4">
        <f t="shared" si="3"/>
        <v>3.4</v>
      </c>
      <c r="AD26" s="4">
        <f t="shared" si="4"/>
        <v>4</v>
      </c>
      <c r="AE26" s="4">
        <f t="shared" si="5"/>
        <v>3.72</v>
      </c>
      <c r="AF26" s="1" t="str">
        <f t="shared" si="6"/>
        <v>Complete</v>
      </c>
      <c r="AG26" s="3"/>
    </row>
    <row r="27" spans="1:33" ht="22.95" customHeight="1" thickBot="1">
      <c r="A27" s="1" t="s">
        <v>183</v>
      </c>
      <c r="B27" s="10">
        <v>4</v>
      </c>
      <c r="C27" s="11">
        <v>4</v>
      </c>
      <c r="D27" s="11">
        <v>4</v>
      </c>
      <c r="E27" s="11">
        <v>4</v>
      </c>
      <c r="F27" s="11">
        <v>4</v>
      </c>
      <c r="G27" s="12">
        <v>4</v>
      </c>
      <c r="H27" s="12">
        <v>4</v>
      </c>
      <c r="I27" s="12">
        <v>4</v>
      </c>
      <c r="J27" s="12">
        <v>4</v>
      </c>
      <c r="K27" s="11">
        <v>4</v>
      </c>
      <c r="L27" s="11">
        <v>3</v>
      </c>
      <c r="M27" s="11">
        <v>4</v>
      </c>
      <c r="N27" s="11">
        <v>4</v>
      </c>
      <c r="O27" s="11">
        <v>4</v>
      </c>
      <c r="P27" s="13">
        <v>4</v>
      </c>
      <c r="Q27" s="13">
        <v>4</v>
      </c>
      <c r="R27" s="13">
        <v>4</v>
      </c>
      <c r="S27" s="13">
        <v>3</v>
      </c>
      <c r="T27" s="13">
        <v>4</v>
      </c>
      <c r="U27" s="11">
        <v>4</v>
      </c>
      <c r="V27" s="11">
        <v>4</v>
      </c>
      <c r="W27" s="11">
        <v>4</v>
      </c>
      <c r="X27" s="11">
        <v>4</v>
      </c>
      <c r="Y27" s="11">
        <v>4</v>
      </c>
      <c r="Z27" s="4">
        <f t="shared" si="0"/>
        <v>4</v>
      </c>
      <c r="AA27" s="4">
        <f t="shared" si="1"/>
        <v>4</v>
      </c>
      <c r="AB27" s="4">
        <f t="shared" si="2"/>
        <v>3.8</v>
      </c>
      <c r="AC27" s="4">
        <f t="shared" si="3"/>
        <v>3.8</v>
      </c>
      <c r="AD27" s="4">
        <f t="shared" si="4"/>
        <v>4</v>
      </c>
      <c r="AE27" s="4">
        <f t="shared" si="5"/>
        <v>3.9200000000000004</v>
      </c>
      <c r="AF27" s="1" t="str">
        <f t="shared" si="6"/>
        <v>Complete</v>
      </c>
      <c r="AG27" s="3"/>
    </row>
    <row r="28" spans="1:33" ht="22.95" customHeight="1" thickBot="1">
      <c r="A28" s="1" t="s">
        <v>184</v>
      </c>
      <c r="B28" s="10">
        <v>4</v>
      </c>
      <c r="C28" s="11">
        <v>4</v>
      </c>
      <c r="D28" s="11">
        <v>4</v>
      </c>
      <c r="E28" s="11">
        <v>4</v>
      </c>
      <c r="F28" s="11">
        <v>4</v>
      </c>
      <c r="G28" s="12">
        <v>4</v>
      </c>
      <c r="H28" s="12">
        <v>4</v>
      </c>
      <c r="I28" s="12">
        <v>4</v>
      </c>
      <c r="J28" s="12">
        <v>4</v>
      </c>
      <c r="K28" s="11">
        <v>4</v>
      </c>
      <c r="L28" s="11">
        <v>4</v>
      </c>
      <c r="M28" s="11">
        <v>4</v>
      </c>
      <c r="N28" s="11">
        <v>4</v>
      </c>
      <c r="O28" s="11">
        <v>3</v>
      </c>
      <c r="P28" s="13">
        <v>4</v>
      </c>
      <c r="Q28" s="13">
        <v>3</v>
      </c>
      <c r="R28" s="13">
        <v>3</v>
      </c>
      <c r="S28" s="13">
        <v>4</v>
      </c>
      <c r="T28" s="13">
        <v>4</v>
      </c>
      <c r="U28" s="11">
        <v>4</v>
      </c>
      <c r="V28" s="11">
        <v>4</v>
      </c>
      <c r="W28" s="11">
        <v>4</v>
      </c>
      <c r="X28" s="11">
        <v>4</v>
      </c>
      <c r="Y28" s="11">
        <v>4</v>
      </c>
      <c r="Z28" s="4">
        <f t="shared" si="0"/>
        <v>4</v>
      </c>
      <c r="AA28" s="4">
        <f t="shared" si="1"/>
        <v>4</v>
      </c>
      <c r="AB28" s="4">
        <f t="shared" si="2"/>
        <v>3.8</v>
      </c>
      <c r="AC28" s="4">
        <f t="shared" si="3"/>
        <v>3.6</v>
      </c>
      <c r="AD28" s="4">
        <f t="shared" si="4"/>
        <v>4</v>
      </c>
      <c r="AE28" s="4">
        <f t="shared" si="5"/>
        <v>3.88</v>
      </c>
      <c r="AF28" s="1" t="str">
        <f t="shared" si="6"/>
        <v>Complete</v>
      </c>
      <c r="AG28" s="3"/>
    </row>
    <row r="29" spans="1:33" ht="22.95" customHeight="1" thickBot="1">
      <c r="A29" s="1" t="s">
        <v>185</v>
      </c>
      <c r="B29" s="10">
        <v>3</v>
      </c>
      <c r="C29" s="11">
        <v>4</v>
      </c>
      <c r="D29" s="11">
        <v>4</v>
      </c>
      <c r="E29" s="11">
        <v>4</v>
      </c>
      <c r="F29" s="11">
        <v>4</v>
      </c>
      <c r="G29" s="12">
        <v>3</v>
      </c>
      <c r="H29" s="12">
        <v>3</v>
      </c>
      <c r="I29" s="12">
        <v>3</v>
      </c>
      <c r="J29" s="12">
        <v>4</v>
      </c>
      <c r="K29" s="11">
        <v>4</v>
      </c>
      <c r="L29" s="11">
        <v>4</v>
      </c>
      <c r="M29" s="11">
        <v>4</v>
      </c>
      <c r="N29" s="11">
        <v>4</v>
      </c>
      <c r="O29" s="11">
        <v>4</v>
      </c>
      <c r="P29" s="13">
        <v>3</v>
      </c>
      <c r="Q29" s="13">
        <v>4</v>
      </c>
      <c r="R29" s="13">
        <v>4</v>
      </c>
      <c r="S29" s="13">
        <v>4</v>
      </c>
      <c r="T29" s="13">
        <v>4</v>
      </c>
      <c r="U29" s="11">
        <v>4</v>
      </c>
      <c r="V29" s="11">
        <v>4</v>
      </c>
      <c r="W29" s="11">
        <v>4</v>
      </c>
      <c r="X29" s="11">
        <v>4</v>
      </c>
      <c r="Y29" s="11">
        <v>4</v>
      </c>
      <c r="Z29" s="4">
        <f t="shared" si="0"/>
        <v>3.8</v>
      </c>
      <c r="AA29" s="4">
        <f t="shared" si="1"/>
        <v>3.25</v>
      </c>
      <c r="AB29" s="4">
        <f t="shared" si="2"/>
        <v>4</v>
      </c>
      <c r="AC29" s="4">
        <f t="shared" si="3"/>
        <v>3.8</v>
      </c>
      <c r="AD29" s="4">
        <f t="shared" si="4"/>
        <v>4</v>
      </c>
      <c r="AE29" s="4">
        <f t="shared" si="5"/>
        <v>3.7700000000000005</v>
      </c>
      <c r="AF29" s="1" t="str">
        <f t="shared" si="6"/>
        <v>Complete</v>
      </c>
      <c r="AG29" s="3"/>
    </row>
    <row r="30" spans="1:33" ht="22.95" customHeight="1" thickBot="1">
      <c r="A30" s="1" t="s">
        <v>186</v>
      </c>
      <c r="B30" s="10">
        <v>4</v>
      </c>
      <c r="C30" s="11">
        <v>4</v>
      </c>
      <c r="D30" s="11">
        <v>4</v>
      </c>
      <c r="E30" s="11">
        <v>4</v>
      </c>
      <c r="F30" s="11">
        <v>4</v>
      </c>
      <c r="G30" s="12">
        <v>4</v>
      </c>
      <c r="H30" s="12">
        <v>4</v>
      </c>
      <c r="I30" s="12">
        <v>4</v>
      </c>
      <c r="J30" s="12">
        <v>4</v>
      </c>
      <c r="K30" s="11">
        <v>4</v>
      </c>
      <c r="L30" s="11">
        <v>4</v>
      </c>
      <c r="M30" s="11">
        <v>4</v>
      </c>
      <c r="N30" s="11">
        <v>4</v>
      </c>
      <c r="O30" s="11">
        <v>4</v>
      </c>
      <c r="P30" s="13">
        <v>4</v>
      </c>
      <c r="Q30" s="13">
        <v>4</v>
      </c>
      <c r="R30" s="13">
        <v>4</v>
      </c>
      <c r="S30" s="13">
        <v>4</v>
      </c>
      <c r="T30" s="13">
        <v>4</v>
      </c>
      <c r="U30" s="11">
        <v>4</v>
      </c>
      <c r="V30" s="11">
        <v>4</v>
      </c>
      <c r="W30" s="11">
        <v>4</v>
      </c>
      <c r="X30" s="11">
        <v>4</v>
      </c>
      <c r="Y30" s="11">
        <v>4</v>
      </c>
      <c r="Z30" s="4">
        <f t="shared" si="0"/>
        <v>4</v>
      </c>
      <c r="AA30" s="4">
        <f t="shared" si="1"/>
        <v>4</v>
      </c>
      <c r="AB30" s="4">
        <f t="shared" si="2"/>
        <v>4</v>
      </c>
      <c r="AC30" s="4">
        <f t="shared" si="3"/>
        <v>4</v>
      </c>
      <c r="AD30" s="4">
        <f t="shared" si="4"/>
        <v>4</v>
      </c>
      <c r="AE30" s="4">
        <f t="shared" si="5"/>
        <v>4</v>
      </c>
      <c r="AF30" s="1" t="str">
        <f t="shared" si="6"/>
        <v>Complete</v>
      </c>
      <c r="AG30" s="3"/>
    </row>
    <row r="31" spans="1:33" ht="22.95" customHeight="1" thickBot="1">
      <c r="A31" s="1" t="s">
        <v>187</v>
      </c>
      <c r="B31" s="10">
        <v>2</v>
      </c>
      <c r="C31" s="11">
        <v>4</v>
      </c>
      <c r="D31" s="11">
        <v>4</v>
      </c>
      <c r="E31" s="11">
        <v>4</v>
      </c>
      <c r="F31" s="11">
        <v>4</v>
      </c>
      <c r="G31" s="12">
        <v>4</v>
      </c>
      <c r="H31" s="12">
        <v>4</v>
      </c>
      <c r="I31" s="12">
        <v>4</v>
      </c>
      <c r="J31" s="12">
        <v>4</v>
      </c>
      <c r="K31" s="11">
        <v>4</v>
      </c>
      <c r="L31" s="11">
        <v>4</v>
      </c>
      <c r="M31" s="11">
        <v>4</v>
      </c>
      <c r="N31" s="11">
        <v>4</v>
      </c>
      <c r="O31" s="11">
        <v>4</v>
      </c>
      <c r="P31" s="13">
        <v>4</v>
      </c>
      <c r="Q31" s="13">
        <v>4</v>
      </c>
      <c r="R31" s="13">
        <v>4</v>
      </c>
      <c r="S31" s="13">
        <v>4</v>
      </c>
      <c r="T31" s="13">
        <v>4</v>
      </c>
      <c r="U31" s="11">
        <v>4</v>
      </c>
      <c r="V31" s="11">
        <v>4</v>
      </c>
      <c r="W31" s="11">
        <v>4</v>
      </c>
      <c r="X31" s="11">
        <v>4</v>
      </c>
      <c r="Y31" s="11">
        <v>4</v>
      </c>
      <c r="Z31" s="4">
        <f t="shared" si="0"/>
        <v>3.6</v>
      </c>
      <c r="AA31" s="4">
        <f t="shared" si="1"/>
        <v>4</v>
      </c>
      <c r="AB31" s="4">
        <f t="shared" si="2"/>
        <v>4</v>
      </c>
      <c r="AC31" s="4">
        <f t="shared" si="3"/>
        <v>4</v>
      </c>
      <c r="AD31" s="4">
        <f t="shared" si="4"/>
        <v>4</v>
      </c>
      <c r="AE31" s="4">
        <f t="shared" si="5"/>
        <v>3.9200000000000004</v>
      </c>
      <c r="AF31" s="1" t="str">
        <f t="shared" si="6"/>
        <v>Complete</v>
      </c>
      <c r="AG31" s="3"/>
    </row>
    <row r="32" spans="1:33" ht="22.95" customHeight="1" thickBot="1">
      <c r="A32" s="1" t="s">
        <v>188</v>
      </c>
      <c r="B32" s="10">
        <v>4</v>
      </c>
      <c r="C32" s="11">
        <v>4</v>
      </c>
      <c r="D32" s="11">
        <v>4</v>
      </c>
      <c r="E32" s="11">
        <v>4</v>
      </c>
      <c r="F32" s="11">
        <v>4</v>
      </c>
      <c r="G32" s="12">
        <v>4</v>
      </c>
      <c r="H32" s="12">
        <v>4</v>
      </c>
      <c r="I32" s="12">
        <v>4</v>
      </c>
      <c r="J32" s="12">
        <v>4</v>
      </c>
      <c r="K32" s="11">
        <v>4</v>
      </c>
      <c r="L32" s="11">
        <v>4</v>
      </c>
      <c r="M32" s="11">
        <v>4</v>
      </c>
      <c r="N32" s="11">
        <v>4</v>
      </c>
      <c r="O32" s="11">
        <v>4</v>
      </c>
      <c r="P32" s="13">
        <v>4</v>
      </c>
      <c r="Q32" s="13">
        <v>4</v>
      </c>
      <c r="R32" s="13">
        <v>4</v>
      </c>
      <c r="S32" s="13">
        <v>4</v>
      </c>
      <c r="T32" s="13">
        <v>4</v>
      </c>
      <c r="U32" s="11">
        <v>4</v>
      </c>
      <c r="V32" s="11">
        <v>4</v>
      </c>
      <c r="W32" s="11">
        <v>4</v>
      </c>
      <c r="X32" s="11">
        <v>4</v>
      </c>
      <c r="Y32" s="11">
        <v>4</v>
      </c>
      <c r="Z32" s="4">
        <f t="shared" si="0"/>
        <v>4</v>
      </c>
      <c r="AA32" s="4">
        <f t="shared" si="1"/>
        <v>4</v>
      </c>
      <c r="AB32" s="4">
        <f t="shared" si="2"/>
        <v>4</v>
      </c>
      <c r="AC32" s="4">
        <f t="shared" si="3"/>
        <v>4</v>
      </c>
      <c r="AD32" s="4">
        <f t="shared" si="4"/>
        <v>4</v>
      </c>
      <c r="AE32" s="4">
        <f t="shared" si="5"/>
        <v>4</v>
      </c>
      <c r="AF32" s="1" t="str">
        <f t="shared" si="6"/>
        <v>Complete</v>
      </c>
      <c r="AG32" s="3"/>
    </row>
    <row r="33" spans="1:33" ht="22.95" customHeight="1" thickBot="1">
      <c r="A33" s="1" t="s">
        <v>189</v>
      </c>
      <c r="B33" s="10">
        <v>4</v>
      </c>
      <c r="C33" s="11">
        <v>4</v>
      </c>
      <c r="D33" s="11">
        <v>3</v>
      </c>
      <c r="E33" s="11">
        <v>4</v>
      </c>
      <c r="F33" s="11">
        <v>4</v>
      </c>
      <c r="G33" s="12">
        <v>4</v>
      </c>
      <c r="H33" s="12">
        <v>4</v>
      </c>
      <c r="I33" s="12">
        <v>4</v>
      </c>
      <c r="J33" s="12">
        <v>4</v>
      </c>
      <c r="K33" s="11">
        <v>4</v>
      </c>
      <c r="L33" s="11">
        <v>3</v>
      </c>
      <c r="M33" s="11">
        <v>4</v>
      </c>
      <c r="N33" s="11">
        <v>4</v>
      </c>
      <c r="O33" s="11">
        <v>4</v>
      </c>
      <c r="P33" s="13">
        <v>4</v>
      </c>
      <c r="Q33" s="13">
        <v>4</v>
      </c>
      <c r="R33" s="13">
        <v>4</v>
      </c>
      <c r="S33" s="13">
        <v>4</v>
      </c>
      <c r="T33" s="13">
        <v>4</v>
      </c>
      <c r="U33" s="11">
        <v>4</v>
      </c>
      <c r="V33" s="11">
        <v>4</v>
      </c>
      <c r="W33" s="11">
        <v>4</v>
      </c>
      <c r="X33" s="11">
        <v>4</v>
      </c>
      <c r="Y33" s="11">
        <v>4</v>
      </c>
      <c r="Z33" s="4">
        <f t="shared" si="0"/>
        <v>3.8</v>
      </c>
      <c r="AA33" s="4">
        <f t="shared" si="1"/>
        <v>4</v>
      </c>
      <c r="AB33" s="4">
        <f t="shared" si="2"/>
        <v>3.8</v>
      </c>
      <c r="AC33" s="4">
        <f t="shared" si="3"/>
        <v>4</v>
      </c>
      <c r="AD33" s="4">
        <f t="shared" si="4"/>
        <v>4</v>
      </c>
      <c r="AE33" s="4">
        <f t="shared" si="5"/>
        <v>3.9200000000000004</v>
      </c>
      <c r="AF33" s="1" t="str">
        <f t="shared" si="6"/>
        <v>Complete</v>
      </c>
      <c r="AG33" s="3"/>
    </row>
    <row r="34" spans="1:33" ht="22.95" customHeight="1" thickBot="1">
      <c r="A34" s="1" t="s">
        <v>190</v>
      </c>
      <c r="B34" s="10">
        <v>4</v>
      </c>
      <c r="C34" s="11">
        <v>4</v>
      </c>
      <c r="D34" s="11">
        <v>4</v>
      </c>
      <c r="E34" s="11">
        <v>4</v>
      </c>
      <c r="F34" s="11">
        <v>4</v>
      </c>
      <c r="G34" s="12">
        <v>4</v>
      </c>
      <c r="H34" s="12">
        <v>4</v>
      </c>
      <c r="I34" s="12">
        <v>4</v>
      </c>
      <c r="J34" s="12">
        <v>4</v>
      </c>
      <c r="K34" s="11">
        <v>4</v>
      </c>
      <c r="L34" s="11">
        <v>4</v>
      </c>
      <c r="M34" s="11">
        <v>4</v>
      </c>
      <c r="N34" s="11">
        <v>4</v>
      </c>
      <c r="O34" s="11">
        <v>4</v>
      </c>
      <c r="P34" s="13">
        <v>4</v>
      </c>
      <c r="Q34" s="13">
        <v>4</v>
      </c>
      <c r="R34" s="13">
        <v>4</v>
      </c>
      <c r="S34" s="13">
        <v>4</v>
      </c>
      <c r="T34" s="13">
        <v>4</v>
      </c>
      <c r="U34" s="11">
        <v>4</v>
      </c>
      <c r="V34" s="11">
        <v>4</v>
      </c>
      <c r="W34" s="11">
        <v>4</v>
      </c>
      <c r="X34" s="11">
        <v>4</v>
      </c>
      <c r="Y34" s="11">
        <v>4</v>
      </c>
      <c r="Z34" s="4">
        <f t="shared" ref="Z34:Z65" si="7">IF($AF34="Complete",AVERAGE(B34:F34),"")</f>
        <v>4</v>
      </c>
      <c r="AA34" s="4">
        <f t="shared" ref="AA34:AA65" si="8">IF($AF34="Complete",AVERAGE(G34:J34),"")</f>
        <v>4</v>
      </c>
      <c r="AB34" s="4">
        <f t="shared" ref="AB34:AB65" si="9">IF($AF34="Complete",AVERAGE(K34:O34),"")</f>
        <v>4</v>
      </c>
      <c r="AC34" s="4">
        <f t="shared" ref="AC34:AC65" si="10">IF($AF34="Complete",AVERAGE(P34:T34),"")</f>
        <v>4</v>
      </c>
      <c r="AD34" s="4">
        <f t="shared" ref="AD34:AD65" si="11">IF($AF34="Complete",AVERAGE(U34:Y34),"")</f>
        <v>4</v>
      </c>
      <c r="AE34" s="4">
        <f t="shared" ref="AE34:AE65" si="12">IF($AF34="Complete",AVERAGE(Z34:AD34),"")</f>
        <v>4</v>
      </c>
      <c r="AF34" s="1" t="str">
        <f t="shared" ref="AF34:AF65" si="13">IF(COUNTA(B34:Y34)=0,"Not entered",IF(AND(COUNT(B34:Y34)=24,COUNTIF(B34:Y34,1)+COUNTIF(B34:Y34,2)+COUNTIF(B34:Y34,3)+COUNTIF(B34:Y34,4)=24),"Complete","CHECK PAPER"))</f>
        <v>Complete</v>
      </c>
      <c r="AG34" s="3"/>
    </row>
    <row r="35" spans="1:33" ht="22.95" customHeight="1" thickBot="1">
      <c r="A35" s="1" t="s">
        <v>191</v>
      </c>
      <c r="B35" s="10">
        <v>4</v>
      </c>
      <c r="C35" s="11">
        <v>4</v>
      </c>
      <c r="D35" s="11">
        <v>4</v>
      </c>
      <c r="E35" s="11">
        <v>4</v>
      </c>
      <c r="F35" s="11">
        <v>4</v>
      </c>
      <c r="G35" s="12">
        <v>4</v>
      </c>
      <c r="H35" s="12">
        <v>4</v>
      </c>
      <c r="I35" s="12">
        <v>4</v>
      </c>
      <c r="J35" s="12">
        <v>4</v>
      </c>
      <c r="K35" s="11">
        <v>4</v>
      </c>
      <c r="L35" s="11">
        <v>4</v>
      </c>
      <c r="M35" s="11">
        <v>4</v>
      </c>
      <c r="N35" s="11">
        <v>4</v>
      </c>
      <c r="O35" s="11">
        <v>4</v>
      </c>
      <c r="P35" s="13">
        <v>4</v>
      </c>
      <c r="Q35" s="13">
        <v>4</v>
      </c>
      <c r="R35" s="13">
        <v>4</v>
      </c>
      <c r="S35" s="13">
        <v>4</v>
      </c>
      <c r="T35" s="13">
        <v>4</v>
      </c>
      <c r="U35" s="11">
        <v>4</v>
      </c>
      <c r="V35" s="11">
        <v>4</v>
      </c>
      <c r="W35" s="11">
        <v>4</v>
      </c>
      <c r="X35" s="11">
        <v>4</v>
      </c>
      <c r="Y35" s="11">
        <v>4</v>
      </c>
      <c r="Z35" s="4">
        <f t="shared" si="7"/>
        <v>4</v>
      </c>
      <c r="AA35" s="4">
        <f t="shared" si="8"/>
        <v>4</v>
      </c>
      <c r="AB35" s="4">
        <f t="shared" si="9"/>
        <v>4</v>
      </c>
      <c r="AC35" s="4">
        <f t="shared" si="10"/>
        <v>4</v>
      </c>
      <c r="AD35" s="4">
        <f t="shared" si="11"/>
        <v>4</v>
      </c>
      <c r="AE35" s="4">
        <f t="shared" si="12"/>
        <v>4</v>
      </c>
      <c r="AF35" s="1" t="str">
        <f t="shared" si="13"/>
        <v>Complete</v>
      </c>
      <c r="AG35" s="3"/>
    </row>
    <row r="36" spans="1:33" ht="22.95" customHeight="1" thickBot="1">
      <c r="A36" s="1" t="s">
        <v>192</v>
      </c>
      <c r="B36" s="10">
        <v>4</v>
      </c>
      <c r="C36" s="11">
        <v>4</v>
      </c>
      <c r="D36" s="11">
        <v>4</v>
      </c>
      <c r="E36" s="11">
        <v>4</v>
      </c>
      <c r="F36" s="11">
        <v>4</v>
      </c>
      <c r="G36" s="12">
        <v>3</v>
      </c>
      <c r="H36" s="12">
        <v>3</v>
      </c>
      <c r="I36" s="12">
        <v>3</v>
      </c>
      <c r="J36" s="12">
        <v>3</v>
      </c>
      <c r="K36" s="11">
        <v>4</v>
      </c>
      <c r="L36" s="11">
        <v>4</v>
      </c>
      <c r="M36" s="11">
        <v>4</v>
      </c>
      <c r="N36" s="11">
        <v>4</v>
      </c>
      <c r="O36" s="11">
        <v>4</v>
      </c>
      <c r="P36" s="13">
        <v>4</v>
      </c>
      <c r="Q36" s="13">
        <v>4</v>
      </c>
      <c r="R36" s="13">
        <v>4</v>
      </c>
      <c r="S36" s="13">
        <v>4</v>
      </c>
      <c r="T36" s="13">
        <v>4</v>
      </c>
      <c r="U36" s="11">
        <v>4</v>
      </c>
      <c r="V36" s="11">
        <v>4</v>
      </c>
      <c r="W36" s="11">
        <v>3</v>
      </c>
      <c r="X36" s="11">
        <v>3</v>
      </c>
      <c r="Y36" s="11">
        <v>4</v>
      </c>
      <c r="Z36" s="4">
        <f t="shared" si="7"/>
        <v>4</v>
      </c>
      <c r="AA36" s="4">
        <f t="shared" si="8"/>
        <v>3</v>
      </c>
      <c r="AB36" s="4">
        <f t="shared" si="9"/>
        <v>4</v>
      </c>
      <c r="AC36" s="4">
        <f t="shared" si="10"/>
        <v>4</v>
      </c>
      <c r="AD36" s="4">
        <f t="shared" si="11"/>
        <v>3.6</v>
      </c>
      <c r="AE36" s="4">
        <f t="shared" si="12"/>
        <v>3.72</v>
      </c>
      <c r="AF36" s="1" t="str">
        <f t="shared" si="13"/>
        <v>Complete</v>
      </c>
      <c r="AG36" s="3"/>
    </row>
    <row r="37" spans="1:33" ht="22.95" customHeight="1" thickBot="1">
      <c r="A37" s="1" t="s">
        <v>193</v>
      </c>
      <c r="B37" s="10">
        <v>4</v>
      </c>
      <c r="C37" s="11">
        <v>4</v>
      </c>
      <c r="D37" s="11">
        <v>4</v>
      </c>
      <c r="E37" s="11">
        <v>4</v>
      </c>
      <c r="F37" s="11">
        <v>4</v>
      </c>
      <c r="G37" s="12">
        <v>4</v>
      </c>
      <c r="H37" s="12">
        <v>4</v>
      </c>
      <c r="I37" s="12">
        <v>4</v>
      </c>
      <c r="J37" s="12">
        <v>4</v>
      </c>
      <c r="K37" s="11">
        <v>4</v>
      </c>
      <c r="L37" s="11">
        <v>4</v>
      </c>
      <c r="M37" s="11">
        <v>4</v>
      </c>
      <c r="N37" s="11">
        <v>4</v>
      </c>
      <c r="O37" s="11">
        <v>4</v>
      </c>
      <c r="P37" s="13">
        <v>4</v>
      </c>
      <c r="Q37" s="13">
        <v>4</v>
      </c>
      <c r="R37" s="13">
        <v>4</v>
      </c>
      <c r="S37" s="13">
        <v>4</v>
      </c>
      <c r="T37" s="13">
        <v>4</v>
      </c>
      <c r="U37" s="11">
        <v>4</v>
      </c>
      <c r="V37" s="11">
        <v>4</v>
      </c>
      <c r="W37" s="11">
        <v>4</v>
      </c>
      <c r="X37" s="11">
        <v>4</v>
      </c>
      <c r="Y37" s="11">
        <v>4</v>
      </c>
      <c r="Z37" s="4">
        <f t="shared" si="7"/>
        <v>4</v>
      </c>
      <c r="AA37" s="4">
        <f t="shared" si="8"/>
        <v>4</v>
      </c>
      <c r="AB37" s="4">
        <f t="shared" si="9"/>
        <v>4</v>
      </c>
      <c r="AC37" s="4">
        <f t="shared" si="10"/>
        <v>4</v>
      </c>
      <c r="AD37" s="4">
        <f t="shared" si="11"/>
        <v>4</v>
      </c>
      <c r="AE37" s="4">
        <f t="shared" si="12"/>
        <v>4</v>
      </c>
      <c r="AF37" s="1" t="str">
        <f t="shared" si="13"/>
        <v>Complete</v>
      </c>
      <c r="AG37" s="3"/>
    </row>
    <row r="38" spans="1:33" ht="22.95" customHeight="1" thickBot="1">
      <c r="A38" s="1" t="s">
        <v>194</v>
      </c>
      <c r="B38" s="10">
        <v>4</v>
      </c>
      <c r="C38" s="11">
        <v>4</v>
      </c>
      <c r="D38" s="11">
        <v>4</v>
      </c>
      <c r="E38" s="11">
        <v>4</v>
      </c>
      <c r="F38" s="11">
        <v>4</v>
      </c>
      <c r="G38" s="12">
        <v>4</v>
      </c>
      <c r="H38" s="12">
        <v>4</v>
      </c>
      <c r="I38" s="12">
        <v>4</v>
      </c>
      <c r="J38" s="12">
        <v>4</v>
      </c>
      <c r="K38" s="11">
        <v>4</v>
      </c>
      <c r="L38" s="11">
        <v>4</v>
      </c>
      <c r="M38" s="11">
        <v>4</v>
      </c>
      <c r="N38" s="11">
        <v>4</v>
      </c>
      <c r="O38" s="11">
        <v>4</v>
      </c>
      <c r="P38" s="13">
        <v>4</v>
      </c>
      <c r="Q38" s="13">
        <v>4</v>
      </c>
      <c r="R38" s="13">
        <v>4</v>
      </c>
      <c r="S38" s="13">
        <v>4</v>
      </c>
      <c r="T38" s="13">
        <v>4</v>
      </c>
      <c r="U38" s="11">
        <v>4</v>
      </c>
      <c r="V38" s="11">
        <v>4</v>
      </c>
      <c r="W38" s="11">
        <v>4</v>
      </c>
      <c r="X38" s="11">
        <v>4</v>
      </c>
      <c r="Y38" s="11">
        <v>4</v>
      </c>
      <c r="Z38" s="4">
        <f t="shared" si="7"/>
        <v>4</v>
      </c>
      <c r="AA38" s="4">
        <f t="shared" si="8"/>
        <v>4</v>
      </c>
      <c r="AB38" s="4">
        <f t="shared" si="9"/>
        <v>4</v>
      </c>
      <c r="AC38" s="4">
        <f t="shared" si="10"/>
        <v>4</v>
      </c>
      <c r="AD38" s="4">
        <f t="shared" si="11"/>
        <v>4</v>
      </c>
      <c r="AE38" s="4">
        <f t="shared" si="12"/>
        <v>4</v>
      </c>
      <c r="AF38" s="1" t="str">
        <f t="shared" si="13"/>
        <v>Complete</v>
      </c>
      <c r="AG38" s="3"/>
    </row>
    <row r="39" spans="1:33" ht="22.95" customHeight="1" thickBot="1">
      <c r="A39" s="1" t="s">
        <v>195</v>
      </c>
      <c r="B39" s="10">
        <v>4</v>
      </c>
      <c r="C39" s="11">
        <v>4</v>
      </c>
      <c r="D39" s="11">
        <v>4</v>
      </c>
      <c r="E39" s="11">
        <v>4</v>
      </c>
      <c r="F39" s="11">
        <v>4</v>
      </c>
      <c r="G39" s="12">
        <v>4</v>
      </c>
      <c r="H39" s="12">
        <v>4</v>
      </c>
      <c r="I39" s="12">
        <v>4</v>
      </c>
      <c r="J39" s="12">
        <v>4</v>
      </c>
      <c r="K39" s="11">
        <v>4</v>
      </c>
      <c r="L39" s="11">
        <v>4</v>
      </c>
      <c r="M39" s="11">
        <v>4</v>
      </c>
      <c r="N39" s="11">
        <v>4</v>
      </c>
      <c r="O39" s="11">
        <v>4</v>
      </c>
      <c r="P39" s="13">
        <v>4</v>
      </c>
      <c r="Q39" s="13">
        <v>4</v>
      </c>
      <c r="R39" s="13">
        <v>4</v>
      </c>
      <c r="S39" s="13">
        <v>4</v>
      </c>
      <c r="T39" s="13">
        <v>4</v>
      </c>
      <c r="U39" s="11">
        <v>4</v>
      </c>
      <c r="V39" s="11">
        <v>4</v>
      </c>
      <c r="W39" s="11">
        <v>4</v>
      </c>
      <c r="X39" s="11">
        <v>4</v>
      </c>
      <c r="Y39" s="11">
        <v>4</v>
      </c>
      <c r="Z39" s="4">
        <f t="shared" si="7"/>
        <v>4</v>
      </c>
      <c r="AA39" s="4">
        <f t="shared" si="8"/>
        <v>4</v>
      </c>
      <c r="AB39" s="4">
        <f t="shared" si="9"/>
        <v>4</v>
      </c>
      <c r="AC39" s="4">
        <f t="shared" si="10"/>
        <v>4</v>
      </c>
      <c r="AD39" s="4">
        <f t="shared" si="11"/>
        <v>4</v>
      </c>
      <c r="AE39" s="4">
        <f t="shared" si="12"/>
        <v>4</v>
      </c>
      <c r="AF39" s="1" t="str">
        <f t="shared" si="13"/>
        <v>Complete</v>
      </c>
      <c r="AG39" s="3"/>
    </row>
    <row r="40" spans="1:33" ht="22.95" customHeight="1" thickBot="1">
      <c r="A40" s="1" t="s">
        <v>196</v>
      </c>
      <c r="B40" s="10">
        <v>4</v>
      </c>
      <c r="C40" s="11">
        <v>4</v>
      </c>
      <c r="D40" s="11">
        <v>4</v>
      </c>
      <c r="E40" s="11">
        <v>4</v>
      </c>
      <c r="F40" s="11">
        <v>4</v>
      </c>
      <c r="G40" s="12">
        <v>4</v>
      </c>
      <c r="H40" s="12">
        <v>4</v>
      </c>
      <c r="I40" s="12">
        <v>4</v>
      </c>
      <c r="J40" s="12">
        <v>4</v>
      </c>
      <c r="K40" s="11">
        <v>4</v>
      </c>
      <c r="L40" s="11">
        <v>4</v>
      </c>
      <c r="M40" s="11">
        <v>4</v>
      </c>
      <c r="N40" s="11">
        <v>4</v>
      </c>
      <c r="O40" s="11">
        <v>4</v>
      </c>
      <c r="P40" s="13">
        <v>4</v>
      </c>
      <c r="Q40" s="13">
        <v>4</v>
      </c>
      <c r="R40" s="13">
        <v>4</v>
      </c>
      <c r="S40" s="13">
        <v>4</v>
      </c>
      <c r="T40" s="13">
        <v>4</v>
      </c>
      <c r="U40" s="11">
        <v>4</v>
      </c>
      <c r="V40" s="11">
        <v>4</v>
      </c>
      <c r="W40" s="11">
        <v>4</v>
      </c>
      <c r="X40" s="11">
        <v>4</v>
      </c>
      <c r="Y40" s="11">
        <v>4</v>
      </c>
      <c r="Z40" s="4">
        <f t="shared" si="7"/>
        <v>4</v>
      </c>
      <c r="AA40" s="4">
        <f t="shared" si="8"/>
        <v>4</v>
      </c>
      <c r="AB40" s="4">
        <f t="shared" si="9"/>
        <v>4</v>
      </c>
      <c r="AC40" s="4">
        <f t="shared" si="10"/>
        <v>4</v>
      </c>
      <c r="AD40" s="4">
        <f t="shared" si="11"/>
        <v>4</v>
      </c>
      <c r="AE40" s="4">
        <f t="shared" si="12"/>
        <v>4</v>
      </c>
      <c r="AF40" s="1" t="str">
        <f t="shared" si="13"/>
        <v>Complete</v>
      </c>
      <c r="AG40" s="3"/>
    </row>
    <row r="41" spans="1:33" ht="22.95" customHeight="1" thickBot="1">
      <c r="A41" s="1" t="s">
        <v>197</v>
      </c>
      <c r="B41" s="10">
        <v>4</v>
      </c>
      <c r="C41" s="11">
        <v>4</v>
      </c>
      <c r="D41" s="11">
        <v>4</v>
      </c>
      <c r="E41" s="11">
        <v>4</v>
      </c>
      <c r="F41" s="11">
        <v>4</v>
      </c>
      <c r="G41" s="12">
        <v>4</v>
      </c>
      <c r="H41" s="12">
        <v>4</v>
      </c>
      <c r="I41" s="12">
        <v>4</v>
      </c>
      <c r="J41" s="12">
        <v>4</v>
      </c>
      <c r="K41" s="11">
        <v>4</v>
      </c>
      <c r="L41" s="11">
        <v>4</v>
      </c>
      <c r="M41" s="11">
        <v>4</v>
      </c>
      <c r="N41" s="11">
        <v>4</v>
      </c>
      <c r="O41" s="11">
        <v>4</v>
      </c>
      <c r="P41" s="13">
        <v>4</v>
      </c>
      <c r="Q41" s="13">
        <v>4</v>
      </c>
      <c r="R41" s="13">
        <v>4</v>
      </c>
      <c r="S41" s="13">
        <v>4</v>
      </c>
      <c r="T41" s="13">
        <v>4</v>
      </c>
      <c r="U41" s="11">
        <v>4</v>
      </c>
      <c r="V41" s="11">
        <v>4</v>
      </c>
      <c r="W41" s="11">
        <v>4</v>
      </c>
      <c r="X41" s="11">
        <v>4</v>
      </c>
      <c r="Y41" s="11">
        <v>4</v>
      </c>
      <c r="Z41" s="4">
        <f t="shared" si="7"/>
        <v>4</v>
      </c>
      <c r="AA41" s="4">
        <f t="shared" si="8"/>
        <v>4</v>
      </c>
      <c r="AB41" s="4">
        <f t="shared" si="9"/>
        <v>4</v>
      </c>
      <c r="AC41" s="4">
        <f t="shared" si="10"/>
        <v>4</v>
      </c>
      <c r="AD41" s="4">
        <f t="shared" si="11"/>
        <v>4</v>
      </c>
      <c r="AE41" s="4">
        <f t="shared" si="12"/>
        <v>4</v>
      </c>
      <c r="AF41" s="1" t="str">
        <f t="shared" si="13"/>
        <v>Complete</v>
      </c>
      <c r="AG41" s="3"/>
    </row>
    <row r="42" spans="1:33" ht="22.95" customHeight="1" thickBot="1">
      <c r="A42" s="1" t="s">
        <v>198</v>
      </c>
      <c r="B42" s="10">
        <v>3</v>
      </c>
      <c r="C42" s="11">
        <v>3</v>
      </c>
      <c r="D42" s="11">
        <v>3</v>
      </c>
      <c r="E42" s="11">
        <v>4</v>
      </c>
      <c r="F42" s="11">
        <v>4</v>
      </c>
      <c r="G42" s="12">
        <v>3</v>
      </c>
      <c r="H42" s="12">
        <v>2</v>
      </c>
      <c r="I42" s="12">
        <v>3</v>
      </c>
      <c r="J42" s="12">
        <v>3</v>
      </c>
      <c r="K42" s="11">
        <v>4</v>
      </c>
      <c r="L42" s="11">
        <v>4</v>
      </c>
      <c r="M42" s="11">
        <v>3</v>
      </c>
      <c r="N42" s="11">
        <v>3</v>
      </c>
      <c r="O42" s="11">
        <v>3</v>
      </c>
      <c r="P42" s="13">
        <v>3</v>
      </c>
      <c r="Q42" s="13">
        <v>3</v>
      </c>
      <c r="R42" s="13">
        <v>3</v>
      </c>
      <c r="S42" s="13">
        <v>3</v>
      </c>
      <c r="T42" s="13">
        <v>3</v>
      </c>
      <c r="U42" s="11">
        <v>2</v>
      </c>
      <c r="V42" s="11">
        <v>3</v>
      </c>
      <c r="W42" s="11">
        <v>3</v>
      </c>
      <c r="X42" s="11">
        <v>3</v>
      </c>
      <c r="Y42" s="11">
        <v>3</v>
      </c>
      <c r="Z42" s="4">
        <f t="shared" si="7"/>
        <v>3.4</v>
      </c>
      <c r="AA42" s="4">
        <f t="shared" si="8"/>
        <v>2.75</v>
      </c>
      <c r="AB42" s="4">
        <f t="shared" si="9"/>
        <v>3.4</v>
      </c>
      <c r="AC42" s="4">
        <f t="shared" si="10"/>
        <v>3</v>
      </c>
      <c r="AD42" s="4">
        <f t="shared" si="11"/>
        <v>2.8</v>
      </c>
      <c r="AE42" s="4">
        <f t="shared" si="12"/>
        <v>3.0700000000000003</v>
      </c>
      <c r="AF42" s="1" t="str">
        <f t="shared" si="13"/>
        <v>Complete</v>
      </c>
      <c r="AG42" s="3"/>
    </row>
    <row r="43" spans="1:33" ht="22.95" customHeight="1" thickBot="1">
      <c r="A43" s="1" t="s">
        <v>199</v>
      </c>
      <c r="B43" s="10">
        <v>4</v>
      </c>
      <c r="C43" s="11">
        <v>4</v>
      </c>
      <c r="D43" s="11">
        <v>4</v>
      </c>
      <c r="E43" s="11">
        <v>4</v>
      </c>
      <c r="F43" s="11">
        <v>4</v>
      </c>
      <c r="G43" s="12">
        <v>4</v>
      </c>
      <c r="H43" s="12">
        <v>4</v>
      </c>
      <c r="I43" s="12">
        <v>4</v>
      </c>
      <c r="J43" s="12">
        <v>4</v>
      </c>
      <c r="K43" s="11">
        <v>4</v>
      </c>
      <c r="L43" s="11">
        <v>4</v>
      </c>
      <c r="M43" s="11">
        <v>4</v>
      </c>
      <c r="N43" s="11">
        <v>4</v>
      </c>
      <c r="O43" s="11">
        <v>4</v>
      </c>
      <c r="P43" s="13">
        <v>4</v>
      </c>
      <c r="Q43" s="13">
        <v>4</v>
      </c>
      <c r="R43" s="13">
        <v>4</v>
      </c>
      <c r="S43" s="13">
        <v>4</v>
      </c>
      <c r="T43" s="13">
        <v>4</v>
      </c>
      <c r="U43" s="11">
        <v>4</v>
      </c>
      <c r="V43" s="11">
        <v>4</v>
      </c>
      <c r="W43" s="11">
        <v>4</v>
      </c>
      <c r="X43" s="11">
        <v>4</v>
      </c>
      <c r="Y43" s="11">
        <v>4</v>
      </c>
      <c r="Z43" s="4">
        <f t="shared" si="7"/>
        <v>4</v>
      </c>
      <c r="AA43" s="4">
        <f t="shared" si="8"/>
        <v>4</v>
      </c>
      <c r="AB43" s="4">
        <f t="shared" si="9"/>
        <v>4</v>
      </c>
      <c r="AC43" s="4">
        <f t="shared" si="10"/>
        <v>4</v>
      </c>
      <c r="AD43" s="4">
        <f t="shared" si="11"/>
        <v>4</v>
      </c>
      <c r="AE43" s="4">
        <f t="shared" si="12"/>
        <v>4</v>
      </c>
      <c r="AF43" s="1" t="str">
        <f t="shared" si="13"/>
        <v>Complete</v>
      </c>
      <c r="AG43" s="3"/>
    </row>
    <row r="44" spans="1:33" ht="22.95" customHeight="1" thickBot="1">
      <c r="A44" s="1" t="s">
        <v>200</v>
      </c>
      <c r="B44" s="10">
        <v>4</v>
      </c>
      <c r="C44" s="11">
        <v>3</v>
      </c>
      <c r="D44" s="11">
        <v>4</v>
      </c>
      <c r="E44" s="11">
        <v>4</v>
      </c>
      <c r="F44" s="11">
        <v>4</v>
      </c>
      <c r="G44" s="12">
        <v>3</v>
      </c>
      <c r="H44" s="12">
        <v>4</v>
      </c>
      <c r="I44" s="12">
        <v>4</v>
      </c>
      <c r="J44" s="12">
        <v>4</v>
      </c>
      <c r="K44" s="11">
        <v>3</v>
      </c>
      <c r="L44" s="11">
        <v>4</v>
      </c>
      <c r="M44" s="11">
        <v>4</v>
      </c>
      <c r="N44" s="11">
        <v>4</v>
      </c>
      <c r="O44" s="11">
        <v>4</v>
      </c>
      <c r="P44" s="13">
        <v>3</v>
      </c>
      <c r="Q44" s="13">
        <v>4</v>
      </c>
      <c r="R44" s="13">
        <v>4</v>
      </c>
      <c r="S44" s="13">
        <v>4</v>
      </c>
      <c r="T44" s="13">
        <v>4</v>
      </c>
      <c r="U44" s="11">
        <v>4</v>
      </c>
      <c r="V44" s="11">
        <v>4</v>
      </c>
      <c r="W44" s="11">
        <v>4</v>
      </c>
      <c r="X44" s="11">
        <v>4</v>
      </c>
      <c r="Y44" s="11">
        <v>4</v>
      </c>
      <c r="Z44" s="4">
        <f t="shared" si="7"/>
        <v>3.8</v>
      </c>
      <c r="AA44" s="4">
        <f t="shared" si="8"/>
        <v>3.75</v>
      </c>
      <c r="AB44" s="4">
        <f t="shared" si="9"/>
        <v>3.8</v>
      </c>
      <c r="AC44" s="4">
        <f t="shared" si="10"/>
        <v>3.8</v>
      </c>
      <c r="AD44" s="4">
        <f t="shared" si="11"/>
        <v>4</v>
      </c>
      <c r="AE44" s="4">
        <f t="shared" si="12"/>
        <v>3.8299999999999996</v>
      </c>
      <c r="AF44" s="1" t="str">
        <f t="shared" si="13"/>
        <v>Complete</v>
      </c>
      <c r="AG44" s="3"/>
    </row>
    <row r="45" spans="1:33" ht="22.95" customHeight="1" thickBot="1">
      <c r="A45" s="1" t="s">
        <v>201</v>
      </c>
      <c r="B45" s="10">
        <v>3</v>
      </c>
      <c r="C45" s="11">
        <v>4</v>
      </c>
      <c r="D45" s="11">
        <v>2</v>
      </c>
      <c r="E45" s="11">
        <v>4</v>
      </c>
      <c r="F45" s="11">
        <v>2</v>
      </c>
      <c r="G45" s="12">
        <v>4</v>
      </c>
      <c r="H45" s="12">
        <v>3</v>
      </c>
      <c r="I45" s="12">
        <v>3</v>
      </c>
      <c r="J45" s="12">
        <v>2</v>
      </c>
      <c r="K45" s="11">
        <v>4</v>
      </c>
      <c r="L45" s="11">
        <v>3</v>
      </c>
      <c r="M45" s="11">
        <v>3</v>
      </c>
      <c r="N45" s="11">
        <v>2</v>
      </c>
      <c r="O45" s="11">
        <v>2</v>
      </c>
      <c r="P45" s="13">
        <v>3</v>
      </c>
      <c r="Q45" s="13">
        <v>3</v>
      </c>
      <c r="R45" s="13">
        <v>3</v>
      </c>
      <c r="S45" s="13">
        <v>2</v>
      </c>
      <c r="T45" s="13">
        <v>3</v>
      </c>
      <c r="U45" s="11">
        <v>3</v>
      </c>
      <c r="V45" s="11">
        <v>3</v>
      </c>
      <c r="W45" s="11">
        <v>3</v>
      </c>
      <c r="X45" s="11">
        <v>3</v>
      </c>
      <c r="Y45" s="11">
        <v>3</v>
      </c>
      <c r="Z45" s="4">
        <f t="shared" si="7"/>
        <v>3</v>
      </c>
      <c r="AA45" s="4">
        <f t="shared" si="8"/>
        <v>3</v>
      </c>
      <c r="AB45" s="4">
        <f t="shared" si="9"/>
        <v>2.8</v>
      </c>
      <c r="AC45" s="4">
        <f t="shared" si="10"/>
        <v>2.8</v>
      </c>
      <c r="AD45" s="4">
        <f t="shared" si="11"/>
        <v>3</v>
      </c>
      <c r="AE45" s="4">
        <f t="shared" si="12"/>
        <v>2.9200000000000004</v>
      </c>
      <c r="AF45" s="1" t="str">
        <f t="shared" si="13"/>
        <v>Complete</v>
      </c>
      <c r="AG45" s="3"/>
    </row>
    <row r="46" spans="1:33" ht="22.95" customHeight="1" thickBot="1">
      <c r="A46" s="1" t="s">
        <v>202</v>
      </c>
      <c r="B46" s="10">
        <v>3</v>
      </c>
      <c r="C46" s="11">
        <v>4</v>
      </c>
      <c r="D46" s="11">
        <v>2</v>
      </c>
      <c r="E46" s="11">
        <v>4</v>
      </c>
      <c r="F46" s="11">
        <v>2</v>
      </c>
      <c r="G46" s="12">
        <v>4</v>
      </c>
      <c r="H46" s="12">
        <v>3</v>
      </c>
      <c r="I46" s="12">
        <v>3</v>
      </c>
      <c r="J46" s="12">
        <v>2</v>
      </c>
      <c r="K46" s="11">
        <v>4</v>
      </c>
      <c r="L46" s="11">
        <v>3</v>
      </c>
      <c r="M46" s="11">
        <v>3</v>
      </c>
      <c r="N46" s="11">
        <v>2</v>
      </c>
      <c r="O46" s="11">
        <v>2</v>
      </c>
      <c r="P46" s="13">
        <v>3</v>
      </c>
      <c r="Q46" s="13">
        <v>3</v>
      </c>
      <c r="R46" s="13">
        <v>3</v>
      </c>
      <c r="S46" s="13">
        <v>2</v>
      </c>
      <c r="T46" s="13">
        <v>3</v>
      </c>
      <c r="U46" s="11">
        <v>3</v>
      </c>
      <c r="V46" s="11">
        <v>3</v>
      </c>
      <c r="W46" s="11">
        <v>3</v>
      </c>
      <c r="X46" s="11">
        <v>3</v>
      </c>
      <c r="Y46" s="11">
        <v>3</v>
      </c>
      <c r="Z46" s="4">
        <f t="shared" si="7"/>
        <v>3</v>
      </c>
      <c r="AA46" s="4">
        <f t="shared" si="8"/>
        <v>3</v>
      </c>
      <c r="AB46" s="4">
        <f t="shared" si="9"/>
        <v>2.8</v>
      </c>
      <c r="AC46" s="4">
        <f t="shared" si="10"/>
        <v>2.8</v>
      </c>
      <c r="AD46" s="4">
        <f t="shared" si="11"/>
        <v>3</v>
      </c>
      <c r="AE46" s="4">
        <f t="shared" si="12"/>
        <v>2.9200000000000004</v>
      </c>
      <c r="AF46" s="1" t="str">
        <f t="shared" si="13"/>
        <v>Complete</v>
      </c>
      <c r="AG46" s="3"/>
    </row>
    <row r="47" spans="1:33" ht="22.95" customHeight="1" thickBot="1">
      <c r="A47" s="1" t="s">
        <v>203</v>
      </c>
      <c r="B47" s="10">
        <v>3</v>
      </c>
      <c r="C47" s="11">
        <v>3</v>
      </c>
      <c r="D47" s="11">
        <v>3</v>
      </c>
      <c r="E47" s="11">
        <v>3</v>
      </c>
      <c r="F47" s="11">
        <v>3</v>
      </c>
      <c r="G47" s="12">
        <v>3</v>
      </c>
      <c r="H47" s="12">
        <v>3</v>
      </c>
      <c r="I47" s="12">
        <v>3</v>
      </c>
      <c r="J47" s="12">
        <v>3</v>
      </c>
      <c r="K47" s="11">
        <v>3</v>
      </c>
      <c r="L47" s="11">
        <v>3</v>
      </c>
      <c r="M47" s="11">
        <v>3</v>
      </c>
      <c r="N47" s="11">
        <v>3</v>
      </c>
      <c r="O47" s="11">
        <v>3</v>
      </c>
      <c r="P47" s="13">
        <v>3</v>
      </c>
      <c r="Q47" s="13">
        <v>3</v>
      </c>
      <c r="R47" s="13">
        <v>3</v>
      </c>
      <c r="S47" s="13">
        <v>3</v>
      </c>
      <c r="T47" s="13">
        <v>3</v>
      </c>
      <c r="U47" s="11">
        <v>3</v>
      </c>
      <c r="V47" s="11">
        <v>3</v>
      </c>
      <c r="W47" s="11">
        <v>3</v>
      </c>
      <c r="X47" s="11">
        <v>3</v>
      </c>
      <c r="Y47" s="11">
        <v>3</v>
      </c>
      <c r="Z47" s="4">
        <f t="shared" si="7"/>
        <v>3</v>
      </c>
      <c r="AA47" s="4">
        <f t="shared" si="8"/>
        <v>3</v>
      </c>
      <c r="AB47" s="4">
        <f t="shared" si="9"/>
        <v>3</v>
      </c>
      <c r="AC47" s="4">
        <f t="shared" si="10"/>
        <v>3</v>
      </c>
      <c r="AD47" s="4">
        <f t="shared" si="11"/>
        <v>3</v>
      </c>
      <c r="AE47" s="4">
        <f t="shared" si="12"/>
        <v>3</v>
      </c>
      <c r="AF47" s="1" t="str">
        <f t="shared" si="13"/>
        <v>Complete</v>
      </c>
      <c r="AG47" s="3"/>
    </row>
    <row r="48" spans="1:33" ht="22.95" customHeight="1" thickBot="1">
      <c r="A48" s="1" t="s">
        <v>204</v>
      </c>
      <c r="B48" s="10">
        <v>4</v>
      </c>
      <c r="C48" s="11">
        <v>4</v>
      </c>
      <c r="D48" s="11">
        <v>4</v>
      </c>
      <c r="E48" s="11">
        <v>4</v>
      </c>
      <c r="F48" s="11">
        <v>4</v>
      </c>
      <c r="G48" s="12">
        <v>4</v>
      </c>
      <c r="H48" s="12">
        <v>4</v>
      </c>
      <c r="I48" s="12">
        <v>4</v>
      </c>
      <c r="J48" s="12">
        <v>4</v>
      </c>
      <c r="K48" s="11">
        <v>4</v>
      </c>
      <c r="L48" s="11">
        <v>4</v>
      </c>
      <c r="M48" s="11">
        <v>4</v>
      </c>
      <c r="N48" s="11">
        <v>4</v>
      </c>
      <c r="O48" s="11">
        <v>4</v>
      </c>
      <c r="P48" s="13">
        <v>3</v>
      </c>
      <c r="Q48" s="13">
        <v>4</v>
      </c>
      <c r="R48" s="13">
        <v>4</v>
      </c>
      <c r="S48" s="13">
        <v>4</v>
      </c>
      <c r="T48" s="13">
        <v>4</v>
      </c>
      <c r="U48" s="11">
        <v>4</v>
      </c>
      <c r="V48" s="11">
        <v>4</v>
      </c>
      <c r="W48" s="11">
        <v>3</v>
      </c>
      <c r="X48" s="11">
        <v>3</v>
      </c>
      <c r="Y48" s="11">
        <v>3</v>
      </c>
      <c r="Z48" s="4">
        <f t="shared" si="7"/>
        <v>4</v>
      </c>
      <c r="AA48" s="4">
        <f t="shared" si="8"/>
        <v>4</v>
      </c>
      <c r="AB48" s="4">
        <f t="shared" si="9"/>
        <v>4</v>
      </c>
      <c r="AC48" s="4">
        <f t="shared" si="10"/>
        <v>3.8</v>
      </c>
      <c r="AD48" s="4">
        <f t="shared" si="11"/>
        <v>3.4</v>
      </c>
      <c r="AE48" s="4">
        <f t="shared" si="12"/>
        <v>3.84</v>
      </c>
      <c r="AF48" s="1" t="str">
        <f t="shared" si="13"/>
        <v>Complete</v>
      </c>
      <c r="AG48" s="3"/>
    </row>
    <row r="49" spans="1:33" ht="22.95" customHeight="1" thickBot="1">
      <c r="A49" s="1" t="s">
        <v>205</v>
      </c>
      <c r="B49" s="10">
        <v>4</v>
      </c>
      <c r="C49" s="11">
        <v>4</v>
      </c>
      <c r="D49" s="11">
        <v>4</v>
      </c>
      <c r="E49" s="11">
        <v>3</v>
      </c>
      <c r="F49" s="11">
        <v>3</v>
      </c>
      <c r="G49" s="12">
        <v>4</v>
      </c>
      <c r="H49" s="12">
        <v>4</v>
      </c>
      <c r="I49" s="12">
        <v>4</v>
      </c>
      <c r="J49" s="12">
        <v>4</v>
      </c>
      <c r="K49" s="11">
        <v>3</v>
      </c>
      <c r="L49" s="11">
        <v>3</v>
      </c>
      <c r="M49" s="11">
        <v>4</v>
      </c>
      <c r="N49" s="11">
        <v>3</v>
      </c>
      <c r="O49" s="11">
        <v>4</v>
      </c>
      <c r="P49" s="13">
        <v>3</v>
      </c>
      <c r="Q49" s="13">
        <v>3</v>
      </c>
      <c r="R49" s="13">
        <v>3</v>
      </c>
      <c r="S49" s="13">
        <v>4</v>
      </c>
      <c r="T49" s="13">
        <v>3</v>
      </c>
      <c r="U49" s="11">
        <v>3</v>
      </c>
      <c r="V49" s="11">
        <v>4</v>
      </c>
      <c r="W49" s="11">
        <v>3</v>
      </c>
      <c r="X49" s="11">
        <v>3</v>
      </c>
      <c r="Y49" s="11">
        <v>3</v>
      </c>
      <c r="Z49" s="4">
        <f t="shared" si="7"/>
        <v>3.6</v>
      </c>
      <c r="AA49" s="4">
        <f t="shared" si="8"/>
        <v>4</v>
      </c>
      <c r="AB49" s="4">
        <f t="shared" si="9"/>
        <v>3.4</v>
      </c>
      <c r="AC49" s="4">
        <f t="shared" si="10"/>
        <v>3.2</v>
      </c>
      <c r="AD49" s="4">
        <f t="shared" si="11"/>
        <v>3.2</v>
      </c>
      <c r="AE49" s="4">
        <f t="shared" si="12"/>
        <v>3.4799999999999995</v>
      </c>
      <c r="AF49" s="1" t="str">
        <f t="shared" si="13"/>
        <v>Complete</v>
      </c>
      <c r="AG49" s="3"/>
    </row>
    <row r="50" spans="1:33" ht="22.95" customHeight="1" thickBot="1">
      <c r="A50" s="1" t="s">
        <v>206</v>
      </c>
      <c r="B50" s="10">
        <v>4</v>
      </c>
      <c r="C50" s="11">
        <v>4</v>
      </c>
      <c r="D50" s="11">
        <v>3</v>
      </c>
      <c r="E50" s="11">
        <v>4</v>
      </c>
      <c r="F50" s="11">
        <v>3</v>
      </c>
      <c r="G50" s="12">
        <v>4</v>
      </c>
      <c r="H50" s="12">
        <v>3</v>
      </c>
      <c r="I50" s="12">
        <v>4</v>
      </c>
      <c r="J50" s="12">
        <v>3</v>
      </c>
      <c r="K50" s="11">
        <v>4</v>
      </c>
      <c r="L50" s="11">
        <v>4</v>
      </c>
      <c r="M50" s="11">
        <v>4</v>
      </c>
      <c r="N50" s="11">
        <v>4</v>
      </c>
      <c r="O50" s="11">
        <v>4</v>
      </c>
      <c r="P50" s="13">
        <v>4</v>
      </c>
      <c r="Q50" s="13">
        <v>4</v>
      </c>
      <c r="R50" s="13">
        <v>4</v>
      </c>
      <c r="S50" s="13">
        <v>4</v>
      </c>
      <c r="T50" s="13">
        <v>4</v>
      </c>
      <c r="U50" s="11">
        <v>4</v>
      </c>
      <c r="V50" s="11">
        <v>4</v>
      </c>
      <c r="W50" s="11">
        <v>4</v>
      </c>
      <c r="X50" s="11">
        <v>2</v>
      </c>
      <c r="Y50" s="11">
        <v>4</v>
      </c>
      <c r="Z50" s="4">
        <f t="shared" si="7"/>
        <v>3.6</v>
      </c>
      <c r="AA50" s="4">
        <f t="shared" si="8"/>
        <v>3.5</v>
      </c>
      <c r="AB50" s="4">
        <f t="shared" si="9"/>
        <v>4</v>
      </c>
      <c r="AC50" s="4">
        <f t="shared" si="10"/>
        <v>4</v>
      </c>
      <c r="AD50" s="4">
        <f t="shared" si="11"/>
        <v>3.6</v>
      </c>
      <c r="AE50" s="4">
        <f t="shared" si="12"/>
        <v>3.7399999999999998</v>
      </c>
      <c r="AF50" s="1" t="str">
        <f t="shared" si="13"/>
        <v>Complete</v>
      </c>
      <c r="AG50" s="3"/>
    </row>
    <row r="51" spans="1:33" ht="22.95" customHeight="1" thickBot="1">
      <c r="A51" s="1" t="s">
        <v>207</v>
      </c>
      <c r="B51" s="10">
        <v>4</v>
      </c>
      <c r="C51" s="11">
        <v>4</v>
      </c>
      <c r="D51" s="11">
        <v>4</v>
      </c>
      <c r="E51" s="11">
        <v>4</v>
      </c>
      <c r="F51" s="11">
        <v>4</v>
      </c>
      <c r="G51" s="12">
        <v>4</v>
      </c>
      <c r="H51" s="12">
        <v>4</v>
      </c>
      <c r="I51" s="12">
        <v>4</v>
      </c>
      <c r="J51" s="12">
        <v>4</v>
      </c>
      <c r="K51" s="11">
        <v>3</v>
      </c>
      <c r="L51" s="11">
        <v>4</v>
      </c>
      <c r="M51" s="11">
        <v>3</v>
      </c>
      <c r="N51" s="11">
        <v>4</v>
      </c>
      <c r="O51" s="11">
        <v>3</v>
      </c>
      <c r="P51" s="13">
        <v>4</v>
      </c>
      <c r="Q51" s="13">
        <v>4</v>
      </c>
      <c r="R51" s="13">
        <v>4</v>
      </c>
      <c r="S51" s="13">
        <v>4</v>
      </c>
      <c r="T51" s="13">
        <v>4</v>
      </c>
      <c r="U51" s="11">
        <v>4</v>
      </c>
      <c r="V51" s="11">
        <v>3</v>
      </c>
      <c r="W51" s="11">
        <v>4</v>
      </c>
      <c r="X51" s="11">
        <v>3</v>
      </c>
      <c r="Y51" s="11">
        <v>4</v>
      </c>
      <c r="Z51" s="4">
        <f t="shared" si="7"/>
        <v>4</v>
      </c>
      <c r="AA51" s="4">
        <f t="shared" si="8"/>
        <v>4</v>
      </c>
      <c r="AB51" s="4">
        <f t="shared" si="9"/>
        <v>3.4</v>
      </c>
      <c r="AC51" s="4">
        <f t="shared" si="10"/>
        <v>4</v>
      </c>
      <c r="AD51" s="4">
        <f t="shared" si="11"/>
        <v>3.6</v>
      </c>
      <c r="AE51" s="4">
        <f t="shared" si="12"/>
        <v>3.8</v>
      </c>
      <c r="AF51" s="1" t="str">
        <f t="shared" si="13"/>
        <v>Complete</v>
      </c>
      <c r="AG51" s="3"/>
    </row>
    <row r="52" spans="1:33" ht="22.95" customHeight="1" thickBot="1">
      <c r="A52" s="1" t="s">
        <v>208</v>
      </c>
      <c r="B52" s="10">
        <v>4</v>
      </c>
      <c r="C52" s="11">
        <v>4</v>
      </c>
      <c r="D52" s="11">
        <v>4</v>
      </c>
      <c r="E52" s="11">
        <v>3</v>
      </c>
      <c r="F52" s="11">
        <v>2</v>
      </c>
      <c r="G52" s="12">
        <v>4</v>
      </c>
      <c r="H52" s="12">
        <v>4</v>
      </c>
      <c r="I52" s="12">
        <v>4</v>
      </c>
      <c r="J52" s="12">
        <v>3</v>
      </c>
      <c r="K52" s="11">
        <v>3</v>
      </c>
      <c r="L52" s="11">
        <v>3</v>
      </c>
      <c r="M52" s="11">
        <v>3</v>
      </c>
      <c r="N52" s="11">
        <v>4</v>
      </c>
      <c r="O52" s="11">
        <v>4</v>
      </c>
      <c r="P52" s="13">
        <v>3</v>
      </c>
      <c r="Q52" s="13">
        <v>3</v>
      </c>
      <c r="R52" s="13">
        <v>3</v>
      </c>
      <c r="S52" s="13">
        <v>4</v>
      </c>
      <c r="T52" s="13">
        <v>4</v>
      </c>
      <c r="U52" s="11">
        <v>3</v>
      </c>
      <c r="V52" s="11">
        <v>4</v>
      </c>
      <c r="W52" s="11">
        <v>4</v>
      </c>
      <c r="X52" s="11">
        <v>1</v>
      </c>
      <c r="Y52" s="11">
        <v>3</v>
      </c>
      <c r="Z52" s="4">
        <f t="shared" si="7"/>
        <v>3.4</v>
      </c>
      <c r="AA52" s="4">
        <f t="shared" si="8"/>
        <v>3.75</v>
      </c>
      <c r="AB52" s="4">
        <f t="shared" si="9"/>
        <v>3.4</v>
      </c>
      <c r="AC52" s="4">
        <f t="shared" si="10"/>
        <v>3.4</v>
      </c>
      <c r="AD52" s="4">
        <f t="shared" si="11"/>
        <v>3</v>
      </c>
      <c r="AE52" s="4">
        <f t="shared" si="12"/>
        <v>3.3900000000000006</v>
      </c>
      <c r="AF52" s="1" t="str">
        <f t="shared" si="13"/>
        <v>Complete</v>
      </c>
      <c r="AG52" s="3"/>
    </row>
    <row r="53" spans="1:33" ht="22.95" customHeight="1" thickBot="1">
      <c r="A53" s="1" t="s">
        <v>209</v>
      </c>
      <c r="B53" s="10">
        <v>4</v>
      </c>
      <c r="C53" s="11">
        <v>4</v>
      </c>
      <c r="D53" s="11">
        <v>4</v>
      </c>
      <c r="E53" s="11">
        <v>4</v>
      </c>
      <c r="F53" s="11">
        <v>4</v>
      </c>
      <c r="G53" s="12">
        <v>4</v>
      </c>
      <c r="H53" s="12">
        <v>4</v>
      </c>
      <c r="I53" s="12">
        <v>4</v>
      </c>
      <c r="J53" s="12">
        <v>4</v>
      </c>
      <c r="K53" s="11">
        <v>4</v>
      </c>
      <c r="L53" s="11">
        <v>4</v>
      </c>
      <c r="M53" s="11">
        <v>4</v>
      </c>
      <c r="N53" s="11">
        <v>4</v>
      </c>
      <c r="O53" s="11">
        <v>4</v>
      </c>
      <c r="P53" s="13">
        <v>4</v>
      </c>
      <c r="Q53" s="13">
        <v>4</v>
      </c>
      <c r="R53" s="13">
        <v>4</v>
      </c>
      <c r="S53" s="13">
        <v>4</v>
      </c>
      <c r="T53" s="13">
        <v>4</v>
      </c>
      <c r="U53" s="11">
        <v>4</v>
      </c>
      <c r="V53" s="11">
        <v>4</v>
      </c>
      <c r="W53" s="11">
        <v>4</v>
      </c>
      <c r="X53" s="11">
        <v>4</v>
      </c>
      <c r="Y53" s="11">
        <v>4</v>
      </c>
      <c r="Z53" s="4">
        <f t="shared" si="7"/>
        <v>4</v>
      </c>
      <c r="AA53" s="4">
        <f t="shared" si="8"/>
        <v>4</v>
      </c>
      <c r="AB53" s="4">
        <f t="shared" si="9"/>
        <v>4</v>
      </c>
      <c r="AC53" s="4">
        <f t="shared" si="10"/>
        <v>4</v>
      </c>
      <c r="AD53" s="4">
        <f t="shared" si="11"/>
        <v>4</v>
      </c>
      <c r="AE53" s="4">
        <f t="shared" si="12"/>
        <v>4</v>
      </c>
      <c r="AF53" s="1" t="str">
        <f t="shared" si="13"/>
        <v>Complete</v>
      </c>
      <c r="AG53" s="3"/>
    </row>
    <row r="54" spans="1:33" ht="22.95" customHeight="1" thickBot="1">
      <c r="A54" s="1" t="s">
        <v>210</v>
      </c>
      <c r="B54" s="10">
        <v>4</v>
      </c>
      <c r="C54" s="11">
        <v>4</v>
      </c>
      <c r="D54" s="11">
        <v>4</v>
      </c>
      <c r="E54" s="11">
        <v>4</v>
      </c>
      <c r="F54" s="11">
        <v>4</v>
      </c>
      <c r="G54" s="12">
        <v>4</v>
      </c>
      <c r="H54" s="12">
        <v>4</v>
      </c>
      <c r="I54" s="12">
        <v>4</v>
      </c>
      <c r="J54" s="12">
        <v>4</v>
      </c>
      <c r="K54" s="11">
        <v>4</v>
      </c>
      <c r="L54" s="11">
        <v>4</v>
      </c>
      <c r="M54" s="11">
        <v>4</v>
      </c>
      <c r="N54" s="11">
        <v>4</v>
      </c>
      <c r="O54" s="11">
        <v>4</v>
      </c>
      <c r="P54" s="13">
        <v>4</v>
      </c>
      <c r="Q54" s="13">
        <v>4</v>
      </c>
      <c r="R54" s="13">
        <v>4</v>
      </c>
      <c r="S54" s="13">
        <v>4</v>
      </c>
      <c r="T54" s="13">
        <v>4</v>
      </c>
      <c r="U54" s="11">
        <v>4</v>
      </c>
      <c r="V54" s="11">
        <v>4</v>
      </c>
      <c r="W54" s="11">
        <v>4</v>
      </c>
      <c r="X54" s="11">
        <v>4</v>
      </c>
      <c r="Y54" s="11">
        <v>4</v>
      </c>
      <c r="Z54" s="4">
        <f t="shared" si="7"/>
        <v>4</v>
      </c>
      <c r="AA54" s="4">
        <f t="shared" si="8"/>
        <v>4</v>
      </c>
      <c r="AB54" s="4">
        <f t="shared" si="9"/>
        <v>4</v>
      </c>
      <c r="AC54" s="4">
        <f t="shared" si="10"/>
        <v>4</v>
      </c>
      <c r="AD54" s="4">
        <f t="shared" si="11"/>
        <v>4</v>
      </c>
      <c r="AE54" s="4">
        <f t="shared" si="12"/>
        <v>4</v>
      </c>
      <c r="AF54" s="1" t="str">
        <f t="shared" si="13"/>
        <v>Complete</v>
      </c>
      <c r="AG54" s="3"/>
    </row>
    <row r="55" spans="1:33" ht="22.95" customHeight="1" thickBot="1">
      <c r="A55" s="1" t="s">
        <v>211</v>
      </c>
      <c r="B55" s="10">
        <v>4</v>
      </c>
      <c r="C55" s="11">
        <v>4</v>
      </c>
      <c r="D55" s="11">
        <v>4</v>
      </c>
      <c r="E55" s="11">
        <v>4</v>
      </c>
      <c r="F55" s="11">
        <v>4</v>
      </c>
      <c r="G55" s="12">
        <v>4</v>
      </c>
      <c r="H55" s="12">
        <v>4</v>
      </c>
      <c r="I55" s="12">
        <v>4</v>
      </c>
      <c r="J55" s="12">
        <v>4</v>
      </c>
      <c r="K55" s="11">
        <v>4</v>
      </c>
      <c r="L55" s="11">
        <v>4</v>
      </c>
      <c r="M55" s="11">
        <v>4</v>
      </c>
      <c r="N55" s="11">
        <v>4</v>
      </c>
      <c r="O55" s="11">
        <v>4</v>
      </c>
      <c r="P55" s="13">
        <v>4</v>
      </c>
      <c r="Q55" s="13">
        <v>4</v>
      </c>
      <c r="R55" s="13">
        <v>4</v>
      </c>
      <c r="S55" s="13">
        <v>4</v>
      </c>
      <c r="T55" s="13">
        <v>4</v>
      </c>
      <c r="U55" s="11">
        <v>4</v>
      </c>
      <c r="V55" s="11">
        <v>4</v>
      </c>
      <c r="W55" s="11">
        <v>4</v>
      </c>
      <c r="X55" s="11">
        <v>4</v>
      </c>
      <c r="Y55" s="11">
        <v>4</v>
      </c>
      <c r="Z55" s="4">
        <f t="shared" si="7"/>
        <v>4</v>
      </c>
      <c r="AA55" s="4">
        <f t="shared" si="8"/>
        <v>4</v>
      </c>
      <c r="AB55" s="4">
        <f t="shared" si="9"/>
        <v>4</v>
      </c>
      <c r="AC55" s="4">
        <f t="shared" si="10"/>
        <v>4</v>
      </c>
      <c r="AD55" s="4">
        <f t="shared" si="11"/>
        <v>4</v>
      </c>
      <c r="AE55" s="4">
        <f t="shared" si="12"/>
        <v>4</v>
      </c>
      <c r="AF55" s="1" t="str">
        <f t="shared" si="13"/>
        <v>Complete</v>
      </c>
      <c r="AG55" s="3"/>
    </row>
    <row r="56" spans="1:33" ht="22.95" customHeight="1" thickBot="1">
      <c r="A56" s="1" t="s">
        <v>212</v>
      </c>
      <c r="B56" s="10">
        <v>4</v>
      </c>
      <c r="C56" s="11">
        <v>4</v>
      </c>
      <c r="D56" s="11">
        <v>4</v>
      </c>
      <c r="E56" s="11">
        <v>4</v>
      </c>
      <c r="F56" s="11">
        <v>4</v>
      </c>
      <c r="G56" s="12">
        <v>4</v>
      </c>
      <c r="H56" s="12">
        <v>4</v>
      </c>
      <c r="I56" s="12">
        <v>4</v>
      </c>
      <c r="J56" s="12">
        <v>4</v>
      </c>
      <c r="K56" s="11">
        <v>4</v>
      </c>
      <c r="L56" s="11">
        <v>4</v>
      </c>
      <c r="M56" s="11">
        <v>4</v>
      </c>
      <c r="N56" s="11">
        <v>4</v>
      </c>
      <c r="O56" s="11">
        <v>4</v>
      </c>
      <c r="P56" s="13">
        <v>4</v>
      </c>
      <c r="Q56" s="13">
        <v>4</v>
      </c>
      <c r="R56" s="13">
        <v>4</v>
      </c>
      <c r="S56" s="13">
        <v>4</v>
      </c>
      <c r="T56" s="13">
        <v>4</v>
      </c>
      <c r="U56" s="11">
        <v>4</v>
      </c>
      <c r="V56" s="11">
        <v>4</v>
      </c>
      <c r="W56" s="11">
        <v>4</v>
      </c>
      <c r="X56" s="11">
        <v>4</v>
      </c>
      <c r="Y56" s="11">
        <v>4</v>
      </c>
      <c r="Z56" s="4">
        <f t="shared" si="7"/>
        <v>4</v>
      </c>
      <c r="AA56" s="4">
        <f t="shared" si="8"/>
        <v>4</v>
      </c>
      <c r="AB56" s="4">
        <f t="shared" si="9"/>
        <v>4</v>
      </c>
      <c r="AC56" s="4">
        <f t="shared" si="10"/>
        <v>4</v>
      </c>
      <c r="AD56" s="4">
        <f t="shared" si="11"/>
        <v>4</v>
      </c>
      <c r="AE56" s="4">
        <f t="shared" si="12"/>
        <v>4</v>
      </c>
      <c r="AF56" s="1" t="str">
        <f t="shared" si="13"/>
        <v>Complete</v>
      </c>
      <c r="AG56" s="3"/>
    </row>
    <row r="57" spans="1:33" ht="22.95" customHeight="1" thickBot="1">
      <c r="A57" s="1" t="s">
        <v>213</v>
      </c>
      <c r="B57" s="10">
        <v>4</v>
      </c>
      <c r="C57" s="11">
        <v>4</v>
      </c>
      <c r="D57" s="11">
        <v>4</v>
      </c>
      <c r="E57" s="11">
        <v>4</v>
      </c>
      <c r="F57" s="11">
        <v>4</v>
      </c>
      <c r="G57" s="12">
        <v>4</v>
      </c>
      <c r="H57" s="12">
        <v>4</v>
      </c>
      <c r="I57" s="12">
        <v>4</v>
      </c>
      <c r="J57" s="12">
        <v>4</v>
      </c>
      <c r="K57" s="11">
        <v>4</v>
      </c>
      <c r="L57" s="11">
        <v>3</v>
      </c>
      <c r="M57" s="11">
        <v>4</v>
      </c>
      <c r="N57" s="11">
        <v>3</v>
      </c>
      <c r="O57" s="11">
        <v>4</v>
      </c>
      <c r="P57" s="13">
        <v>3</v>
      </c>
      <c r="Q57" s="13">
        <v>4</v>
      </c>
      <c r="R57" s="13">
        <v>4</v>
      </c>
      <c r="S57" s="13">
        <v>4</v>
      </c>
      <c r="T57" s="13">
        <v>4</v>
      </c>
      <c r="U57" s="11">
        <v>4</v>
      </c>
      <c r="V57" s="11">
        <v>4</v>
      </c>
      <c r="W57" s="11">
        <v>4</v>
      </c>
      <c r="X57" s="11">
        <v>4</v>
      </c>
      <c r="Y57" s="11">
        <v>4</v>
      </c>
      <c r="Z57" s="4">
        <f t="shared" si="7"/>
        <v>4</v>
      </c>
      <c r="AA57" s="4">
        <f t="shared" si="8"/>
        <v>4</v>
      </c>
      <c r="AB57" s="4">
        <f t="shared" si="9"/>
        <v>3.6</v>
      </c>
      <c r="AC57" s="4">
        <f t="shared" si="10"/>
        <v>3.8</v>
      </c>
      <c r="AD57" s="4">
        <f t="shared" si="11"/>
        <v>4</v>
      </c>
      <c r="AE57" s="4">
        <f t="shared" si="12"/>
        <v>3.88</v>
      </c>
      <c r="AF57" s="1" t="str">
        <f t="shared" si="13"/>
        <v>Complete</v>
      </c>
      <c r="AG57" s="3"/>
    </row>
    <row r="58" spans="1:33" ht="22.95" customHeight="1" thickBot="1">
      <c r="A58" s="1" t="s">
        <v>214</v>
      </c>
      <c r="B58" s="10">
        <v>4</v>
      </c>
      <c r="C58" s="11">
        <v>3</v>
      </c>
      <c r="D58" s="11">
        <v>4</v>
      </c>
      <c r="E58" s="11">
        <v>4</v>
      </c>
      <c r="F58" s="11">
        <v>4</v>
      </c>
      <c r="G58" s="12">
        <v>3</v>
      </c>
      <c r="H58" s="12">
        <v>4</v>
      </c>
      <c r="I58" s="12">
        <v>4</v>
      </c>
      <c r="J58" s="12">
        <v>4</v>
      </c>
      <c r="K58" s="11">
        <v>4</v>
      </c>
      <c r="L58" s="11">
        <v>4</v>
      </c>
      <c r="M58" s="11">
        <v>4</v>
      </c>
      <c r="N58" s="11">
        <v>3</v>
      </c>
      <c r="O58" s="11">
        <v>4</v>
      </c>
      <c r="P58" s="13">
        <v>3</v>
      </c>
      <c r="Q58" s="13">
        <v>4</v>
      </c>
      <c r="R58" s="13">
        <v>4</v>
      </c>
      <c r="S58" s="13">
        <v>4</v>
      </c>
      <c r="T58" s="13">
        <v>4</v>
      </c>
      <c r="U58" s="11">
        <v>4</v>
      </c>
      <c r="V58" s="11">
        <v>4</v>
      </c>
      <c r="W58" s="11">
        <v>4</v>
      </c>
      <c r="X58" s="11">
        <v>4</v>
      </c>
      <c r="Y58" s="11">
        <v>4</v>
      </c>
      <c r="Z58" s="4">
        <f t="shared" si="7"/>
        <v>3.8</v>
      </c>
      <c r="AA58" s="4">
        <f t="shared" si="8"/>
        <v>3.75</v>
      </c>
      <c r="AB58" s="4">
        <f t="shared" si="9"/>
        <v>3.8</v>
      </c>
      <c r="AC58" s="4">
        <f t="shared" si="10"/>
        <v>3.8</v>
      </c>
      <c r="AD58" s="4">
        <f t="shared" si="11"/>
        <v>4</v>
      </c>
      <c r="AE58" s="4">
        <f t="shared" si="12"/>
        <v>3.8299999999999996</v>
      </c>
      <c r="AF58" s="1" t="str">
        <f t="shared" si="13"/>
        <v>Complete</v>
      </c>
      <c r="AG58" s="3"/>
    </row>
    <row r="59" spans="1:33" ht="22.95" customHeight="1" thickBot="1">
      <c r="A59" s="1" t="s">
        <v>215</v>
      </c>
      <c r="B59" s="10">
        <v>3</v>
      </c>
      <c r="C59" s="11">
        <v>3</v>
      </c>
      <c r="D59" s="11">
        <v>3</v>
      </c>
      <c r="E59" s="11">
        <v>3</v>
      </c>
      <c r="F59" s="11">
        <v>3</v>
      </c>
      <c r="G59" s="12">
        <v>4</v>
      </c>
      <c r="H59" s="12">
        <v>4</v>
      </c>
      <c r="I59" s="12">
        <v>3</v>
      </c>
      <c r="J59" s="12">
        <v>4</v>
      </c>
      <c r="K59" s="11">
        <v>4</v>
      </c>
      <c r="L59" s="11">
        <v>4</v>
      </c>
      <c r="M59" s="11">
        <v>4</v>
      </c>
      <c r="N59" s="11">
        <v>4</v>
      </c>
      <c r="O59" s="11">
        <v>3</v>
      </c>
      <c r="P59" s="13">
        <v>3</v>
      </c>
      <c r="Q59" s="13">
        <v>4</v>
      </c>
      <c r="R59" s="13">
        <v>4</v>
      </c>
      <c r="S59" s="13">
        <v>4</v>
      </c>
      <c r="T59" s="13">
        <v>4</v>
      </c>
      <c r="U59" s="11">
        <v>4</v>
      </c>
      <c r="V59" s="11">
        <v>4</v>
      </c>
      <c r="W59" s="11">
        <v>4</v>
      </c>
      <c r="X59" s="11">
        <v>4</v>
      </c>
      <c r="Y59" s="11">
        <v>4</v>
      </c>
      <c r="Z59" s="4">
        <f t="shared" si="7"/>
        <v>3</v>
      </c>
      <c r="AA59" s="4">
        <f t="shared" si="8"/>
        <v>3.75</v>
      </c>
      <c r="AB59" s="4">
        <f t="shared" si="9"/>
        <v>3.8</v>
      </c>
      <c r="AC59" s="4">
        <f t="shared" si="10"/>
        <v>3.8</v>
      </c>
      <c r="AD59" s="4">
        <f t="shared" si="11"/>
        <v>4</v>
      </c>
      <c r="AE59" s="4">
        <f t="shared" si="12"/>
        <v>3.6700000000000004</v>
      </c>
      <c r="AF59" s="1" t="str">
        <f t="shared" si="13"/>
        <v>Complete</v>
      </c>
      <c r="AG59" s="3"/>
    </row>
    <row r="60" spans="1:33" ht="22.95" customHeight="1" thickBot="1">
      <c r="A60" s="1" t="s">
        <v>216</v>
      </c>
      <c r="B60" s="10">
        <v>3</v>
      </c>
      <c r="C60" s="11">
        <v>4</v>
      </c>
      <c r="D60" s="11">
        <v>4</v>
      </c>
      <c r="E60" s="11">
        <v>3</v>
      </c>
      <c r="F60" s="11">
        <v>4</v>
      </c>
      <c r="G60" s="12">
        <v>3</v>
      </c>
      <c r="H60" s="12">
        <v>3</v>
      </c>
      <c r="I60" s="12">
        <v>3</v>
      </c>
      <c r="J60" s="12">
        <v>4</v>
      </c>
      <c r="K60" s="11">
        <v>4</v>
      </c>
      <c r="L60" s="11">
        <v>4</v>
      </c>
      <c r="M60" s="11">
        <v>4</v>
      </c>
      <c r="N60" s="11">
        <v>4</v>
      </c>
      <c r="O60" s="11">
        <v>3</v>
      </c>
      <c r="P60" s="13">
        <v>3</v>
      </c>
      <c r="Q60" s="13">
        <v>3</v>
      </c>
      <c r="R60" s="13">
        <v>3</v>
      </c>
      <c r="S60" s="13">
        <v>4</v>
      </c>
      <c r="T60" s="13">
        <v>4</v>
      </c>
      <c r="U60" s="11">
        <v>4</v>
      </c>
      <c r="V60" s="11">
        <v>4</v>
      </c>
      <c r="W60" s="11">
        <v>4</v>
      </c>
      <c r="X60" s="11">
        <v>4</v>
      </c>
      <c r="Y60" s="11">
        <v>4</v>
      </c>
      <c r="Z60" s="4">
        <f t="shared" si="7"/>
        <v>3.6</v>
      </c>
      <c r="AA60" s="4">
        <f t="shared" si="8"/>
        <v>3.25</v>
      </c>
      <c r="AB60" s="4">
        <f t="shared" si="9"/>
        <v>3.8</v>
      </c>
      <c r="AC60" s="4">
        <f t="shared" si="10"/>
        <v>3.4</v>
      </c>
      <c r="AD60" s="4">
        <f t="shared" si="11"/>
        <v>4</v>
      </c>
      <c r="AE60" s="4">
        <f t="shared" si="12"/>
        <v>3.6099999999999994</v>
      </c>
      <c r="AF60" s="1" t="str">
        <f t="shared" si="13"/>
        <v>Complete</v>
      </c>
      <c r="AG60" s="3"/>
    </row>
    <row r="61" spans="1:33" ht="22.95" customHeight="1" thickBot="1">
      <c r="A61" s="1" t="s">
        <v>217</v>
      </c>
      <c r="B61" s="10">
        <v>4</v>
      </c>
      <c r="C61" s="11">
        <v>4</v>
      </c>
      <c r="D61" s="11">
        <v>3</v>
      </c>
      <c r="E61" s="11">
        <v>3</v>
      </c>
      <c r="F61" s="11">
        <v>4</v>
      </c>
      <c r="G61" s="12">
        <v>4</v>
      </c>
      <c r="H61" s="12">
        <v>3</v>
      </c>
      <c r="I61" s="12">
        <v>4</v>
      </c>
      <c r="J61" s="12">
        <v>4</v>
      </c>
      <c r="K61" s="11">
        <v>3</v>
      </c>
      <c r="L61" s="11">
        <v>3</v>
      </c>
      <c r="M61" s="11">
        <v>3</v>
      </c>
      <c r="N61" s="11">
        <v>4</v>
      </c>
      <c r="O61" s="11">
        <v>4</v>
      </c>
      <c r="P61" s="13">
        <v>3</v>
      </c>
      <c r="Q61" s="13">
        <v>4</v>
      </c>
      <c r="R61" s="13">
        <v>3</v>
      </c>
      <c r="S61" s="13">
        <v>4</v>
      </c>
      <c r="T61" s="13">
        <v>4</v>
      </c>
      <c r="U61" s="11">
        <v>4</v>
      </c>
      <c r="V61" s="11">
        <v>4</v>
      </c>
      <c r="W61" s="11">
        <v>4</v>
      </c>
      <c r="X61" s="11">
        <v>4</v>
      </c>
      <c r="Y61" s="11">
        <v>4</v>
      </c>
      <c r="Z61" s="4">
        <f t="shared" si="7"/>
        <v>3.6</v>
      </c>
      <c r="AA61" s="4">
        <f t="shared" si="8"/>
        <v>3.75</v>
      </c>
      <c r="AB61" s="4">
        <f t="shared" si="9"/>
        <v>3.4</v>
      </c>
      <c r="AC61" s="4">
        <f t="shared" si="10"/>
        <v>3.6</v>
      </c>
      <c r="AD61" s="4">
        <f t="shared" si="11"/>
        <v>4</v>
      </c>
      <c r="AE61" s="4">
        <f t="shared" si="12"/>
        <v>3.6700000000000004</v>
      </c>
      <c r="AF61" s="1" t="str">
        <f t="shared" si="13"/>
        <v>Complete</v>
      </c>
      <c r="AG61" s="3"/>
    </row>
    <row r="62" spans="1:33" ht="22.95" customHeight="1" thickBot="1">
      <c r="A62" s="1" t="s">
        <v>218</v>
      </c>
      <c r="B62" s="10">
        <v>4</v>
      </c>
      <c r="C62" s="11">
        <v>4</v>
      </c>
      <c r="D62" s="11">
        <v>4</v>
      </c>
      <c r="E62" s="11">
        <v>4</v>
      </c>
      <c r="F62" s="11">
        <v>4</v>
      </c>
      <c r="G62" s="12">
        <v>4</v>
      </c>
      <c r="H62" s="12">
        <v>4</v>
      </c>
      <c r="I62" s="12">
        <v>4</v>
      </c>
      <c r="J62" s="12">
        <v>4</v>
      </c>
      <c r="K62" s="11">
        <v>4</v>
      </c>
      <c r="L62" s="11">
        <v>4</v>
      </c>
      <c r="M62" s="11">
        <v>4</v>
      </c>
      <c r="N62" s="11">
        <v>4</v>
      </c>
      <c r="O62" s="11">
        <v>4</v>
      </c>
      <c r="P62" s="13">
        <v>4</v>
      </c>
      <c r="Q62" s="13">
        <v>4</v>
      </c>
      <c r="R62" s="13">
        <v>4</v>
      </c>
      <c r="S62" s="13">
        <v>4</v>
      </c>
      <c r="T62" s="13">
        <v>4</v>
      </c>
      <c r="U62" s="11">
        <v>4</v>
      </c>
      <c r="V62" s="11">
        <v>4</v>
      </c>
      <c r="W62" s="11">
        <v>4</v>
      </c>
      <c r="X62" s="11">
        <v>4</v>
      </c>
      <c r="Y62" s="11">
        <v>4</v>
      </c>
      <c r="Z62" s="4">
        <f t="shared" si="7"/>
        <v>4</v>
      </c>
      <c r="AA62" s="4">
        <f t="shared" si="8"/>
        <v>4</v>
      </c>
      <c r="AB62" s="4">
        <f t="shared" si="9"/>
        <v>4</v>
      </c>
      <c r="AC62" s="4">
        <f t="shared" si="10"/>
        <v>4</v>
      </c>
      <c r="AD62" s="4">
        <f t="shared" si="11"/>
        <v>4</v>
      </c>
      <c r="AE62" s="4">
        <f t="shared" si="12"/>
        <v>4</v>
      </c>
      <c r="AF62" s="1" t="str">
        <f t="shared" si="13"/>
        <v>Complete</v>
      </c>
      <c r="AG62" s="3"/>
    </row>
    <row r="63" spans="1:33" ht="22.95" customHeight="1" thickBot="1">
      <c r="A63" s="1" t="s">
        <v>219</v>
      </c>
      <c r="B63" s="10">
        <v>3</v>
      </c>
      <c r="C63" s="11">
        <v>3</v>
      </c>
      <c r="D63" s="11">
        <v>3</v>
      </c>
      <c r="E63" s="11">
        <v>4</v>
      </c>
      <c r="F63" s="11">
        <v>4</v>
      </c>
      <c r="G63" s="12">
        <v>3</v>
      </c>
      <c r="H63" s="12">
        <v>4</v>
      </c>
      <c r="I63" s="12">
        <v>3</v>
      </c>
      <c r="J63" s="12">
        <v>4</v>
      </c>
      <c r="K63" s="11">
        <v>4</v>
      </c>
      <c r="L63" s="11">
        <v>4</v>
      </c>
      <c r="M63" s="11">
        <v>3</v>
      </c>
      <c r="N63" s="11">
        <v>3</v>
      </c>
      <c r="O63" s="11">
        <v>4</v>
      </c>
      <c r="P63" s="13">
        <v>4</v>
      </c>
      <c r="Q63" s="13">
        <v>3</v>
      </c>
      <c r="R63" s="13">
        <v>4</v>
      </c>
      <c r="S63" s="13">
        <v>3</v>
      </c>
      <c r="T63" s="13">
        <v>4</v>
      </c>
      <c r="U63" s="11">
        <v>3</v>
      </c>
      <c r="V63" s="11">
        <v>3</v>
      </c>
      <c r="W63" s="11">
        <v>4</v>
      </c>
      <c r="X63" s="11">
        <v>4</v>
      </c>
      <c r="Y63" s="11">
        <v>4</v>
      </c>
      <c r="Z63" s="4">
        <f t="shared" si="7"/>
        <v>3.4</v>
      </c>
      <c r="AA63" s="4">
        <f t="shared" si="8"/>
        <v>3.5</v>
      </c>
      <c r="AB63" s="4">
        <f t="shared" si="9"/>
        <v>3.6</v>
      </c>
      <c r="AC63" s="4">
        <f t="shared" si="10"/>
        <v>3.6</v>
      </c>
      <c r="AD63" s="4">
        <f t="shared" si="11"/>
        <v>3.6</v>
      </c>
      <c r="AE63" s="4">
        <f t="shared" si="12"/>
        <v>3.54</v>
      </c>
      <c r="AF63" s="1" t="str">
        <f t="shared" si="13"/>
        <v>Complete</v>
      </c>
      <c r="AG63" s="3"/>
    </row>
    <row r="64" spans="1:33" ht="22.95" customHeight="1" thickBot="1">
      <c r="A64" s="1" t="s">
        <v>220</v>
      </c>
      <c r="B64" s="10">
        <v>4</v>
      </c>
      <c r="C64" s="11">
        <v>4</v>
      </c>
      <c r="D64" s="11">
        <v>4</v>
      </c>
      <c r="E64" s="11">
        <v>3</v>
      </c>
      <c r="F64" s="11">
        <v>3</v>
      </c>
      <c r="G64" s="12">
        <v>3</v>
      </c>
      <c r="H64" s="12">
        <v>3</v>
      </c>
      <c r="I64" s="12">
        <v>3</v>
      </c>
      <c r="J64" s="12">
        <v>4</v>
      </c>
      <c r="K64" s="11">
        <v>4</v>
      </c>
      <c r="L64" s="11">
        <v>4</v>
      </c>
      <c r="M64" s="11">
        <v>4</v>
      </c>
      <c r="N64" s="11">
        <v>3</v>
      </c>
      <c r="O64" s="11">
        <v>3</v>
      </c>
      <c r="P64" s="13">
        <v>3</v>
      </c>
      <c r="Q64" s="13">
        <v>3</v>
      </c>
      <c r="R64" s="13">
        <v>4</v>
      </c>
      <c r="S64" s="13">
        <v>4</v>
      </c>
      <c r="T64" s="13">
        <v>3</v>
      </c>
      <c r="U64" s="11">
        <v>4</v>
      </c>
      <c r="V64" s="11">
        <v>4</v>
      </c>
      <c r="W64" s="11">
        <v>3</v>
      </c>
      <c r="X64" s="11">
        <v>4</v>
      </c>
      <c r="Y64" s="11">
        <v>3</v>
      </c>
      <c r="Z64" s="4">
        <f t="shared" si="7"/>
        <v>3.6</v>
      </c>
      <c r="AA64" s="4">
        <f t="shared" si="8"/>
        <v>3.25</v>
      </c>
      <c r="AB64" s="4">
        <f t="shared" si="9"/>
        <v>3.6</v>
      </c>
      <c r="AC64" s="4">
        <f t="shared" si="10"/>
        <v>3.4</v>
      </c>
      <c r="AD64" s="4">
        <f t="shared" si="11"/>
        <v>3.6</v>
      </c>
      <c r="AE64" s="4">
        <f t="shared" si="12"/>
        <v>3.4899999999999998</v>
      </c>
      <c r="AF64" s="1" t="str">
        <f t="shared" si="13"/>
        <v>Complete</v>
      </c>
      <c r="AG64" s="3"/>
    </row>
    <row r="65" spans="1:33" ht="22.95" customHeight="1" thickBot="1">
      <c r="A65" s="1" t="s">
        <v>221</v>
      </c>
      <c r="B65" s="10">
        <v>4</v>
      </c>
      <c r="C65" s="11">
        <v>4</v>
      </c>
      <c r="D65" s="11">
        <v>3</v>
      </c>
      <c r="E65" s="11">
        <v>3</v>
      </c>
      <c r="F65" s="11">
        <v>3</v>
      </c>
      <c r="G65" s="12">
        <v>4</v>
      </c>
      <c r="H65" s="12">
        <v>4</v>
      </c>
      <c r="I65" s="12">
        <v>4</v>
      </c>
      <c r="J65" s="12">
        <v>4</v>
      </c>
      <c r="K65" s="11">
        <v>3</v>
      </c>
      <c r="L65" s="11">
        <v>4</v>
      </c>
      <c r="M65" s="11">
        <v>3</v>
      </c>
      <c r="N65" s="11">
        <v>3</v>
      </c>
      <c r="O65" s="11">
        <v>2</v>
      </c>
      <c r="P65" s="13">
        <v>4</v>
      </c>
      <c r="Q65" s="13">
        <v>4</v>
      </c>
      <c r="R65" s="13">
        <v>3</v>
      </c>
      <c r="S65" s="13">
        <v>3</v>
      </c>
      <c r="T65" s="13">
        <v>3</v>
      </c>
      <c r="U65" s="11">
        <v>3</v>
      </c>
      <c r="V65" s="11">
        <v>4</v>
      </c>
      <c r="W65" s="11">
        <v>4</v>
      </c>
      <c r="X65" s="11">
        <v>4</v>
      </c>
      <c r="Y65" s="11">
        <v>3</v>
      </c>
      <c r="Z65" s="4">
        <f t="shared" si="7"/>
        <v>3.4</v>
      </c>
      <c r="AA65" s="4">
        <f t="shared" si="8"/>
        <v>4</v>
      </c>
      <c r="AB65" s="4">
        <f t="shared" si="9"/>
        <v>3</v>
      </c>
      <c r="AC65" s="4">
        <f t="shared" si="10"/>
        <v>3.4</v>
      </c>
      <c r="AD65" s="4">
        <f t="shared" si="11"/>
        <v>3.6</v>
      </c>
      <c r="AE65" s="4">
        <f t="shared" si="12"/>
        <v>3.4800000000000004</v>
      </c>
      <c r="AF65" s="1" t="str">
        <f t="shared" si="13"/>
        <v>Complete</v>
      </c>
      <c r="AG65" s="3"/>
    </row>
    <row r="66" spans="1:33" ht="22.95" customHeight="1" thickBot="1">
      <c r="A66" s="1" t="s">
        <v>222</v>
      </c>
      <c r="B66" s="10">
        <v>4</v>
      </c>
      <c r="C66" s="11">
        <v>4</v>
      </c>
      <c r="D66" s="11">
        <v>4</v>
      </c>
      <c r="E66" s="11">
        <v>3</v>
      </c>
      <c r="F66" s="11">
        <v>4</v>
      </c>
      <c r="G66" s="12">
        <v>4</v>
      </c>
      <c r="H66" s="12">
        <v>3</v>
      </c>
      <c r="I66" s="12">
        <v>3</v>
      </c>
      <c r="J66" s="12">
        <v>3</v>
      </c>
      <c r="K66" s="11">
        <v>4</v>
      </c>
      <c r="L66" s="11">
        <v>4</v>
      </c>
      <c r="M66" s="11">
        <v>3</v>
      </c>
      <c r="N66" s="11">
        <v>3</v>
      </c>
      <c r="O66" s="11">
        <v>4</v>
      </c>
      <c r="P66" s="13">
        <v>4</v>
      </c>
      <c r="Q66" s="13">
        <v>4</v>
      </c>
      <c r="R66" s="13">
        <v>3</v>
      </c>
      <c r="S66" s="13">
        <v>3</v>
      </c>
      <c r="T66" s="13">
        <v>3</v>
      </c>
      <c r="U66" s="11">
        <v>3</v>
      </c>
      <c r="V66" s="11">
        <v>3</v>
      </c>
      <c r="W66" s="11">
        <v>4</v>
      </c>
      <c r="X66" s="11">
        <v>4</v>
      </c>
      <c r="Y66" s="11">
        <v>4</v>
      </c>
      <c r="Z66" s="4">
        <f t="shared" ref="Z66:Z71" si="14">IF($AF66="Complete",AVERAGE(B66:F66),"")</f>
        <v>3.8</v>
      </c>
      <c r="AA66" s="4">
        <f t="shared" ref="AA66:AA71" si="15">IF($AF66="Complete",AVERAGE(G66:J66),"")</f>
        <v>3.25</v>
      </c>
      <c r="AB66" s="4">
        <f t="shared" ref="AB66:AB71" si="16">IF($AF66="Complete",AVERAGE(K66:O66),"")</f>
        <v>3.6</v>
      </c>
      <c r="AC66" s="4">
        <f t="shared" ref="AC66:AC71" si="17">IF($AF66="Complete",AVERAGE(P66:T66),"")</f>
        <v>3.4</v>
      </c>
      <c r="AD66" s="4">
        <f t="shared" ref="AD66:AD71" si="18">IF($AF66="Complete",AVERAGE(U66:Y66),"")</f>
        <v>3.6</v>
      </c>
      <c r="AE66" s="4">
        <f t="shared" ref="AE66:AE71" si="19">IF($AF66="Complete",AVERAGE(Z66:AD66),"")</f>
        <v>3.5300000000000002</v>
      </c>
      <c r="AF66" s="1" t="str">
        <f t="shared" ref="AF66:AF71" si="20">IF(COUNTA(B66:Y66)=0,"Not entered",IF(AND(COUNT(B66:Y66)=24,COUNTIF(B66:Y66,1)+COUNTIF(B66:Y66,2)+COUNTIF(B66:Y66,3)+COUNTIF(B66:Y66,4)=24),"Complete","CHECK PAPER"))</f>
        <v>Complete</v>
      </c>
      <c r="AG66" s="3"/>
    </row>
    <row r="67" spans="1:33" ht="22.95" customHeight="1" thickBot="1">
      <c r="A67" s="1" t="s">
        <v>223</v>
      </c>
      <c r="B67" s="10">
        <v>3</v>
      </c>
      <c r="C67" s="11">
        <v>4</v>
      </c>
      <c r="D67" s="11">
        <v>4</v>
      </c>
      <c r="E67" s="11">
        <v>3</v>
      </c>
      <c r="F67" s="11">
        <v>4</v>
      </c>
      <c r="G67" s="12">
        <v>4</v>
      </c>
      <c r="H67" s="12">
        <v>3</v>
      </c>
      <c r="I67" s="12">
        <v>3</v>
      </c>
      <c r="J67" s="12">
        <v>4</v>
      </c>
      <c r="K67" s="11">
        <v>3</v>
      </c>
      <c r="L67" s="11">
        <v>4</v>
      </c>
      <c r="M67" s="11">
        <v>4</v>
      </c>
      <c r="N67" s="11">
        <v>3</v>
      </c>
      <c r="O67" s="11">
        <v>4</v>
      </c>
      <c r="P67" s="13">
        <v>3</v>
      </c>
      <c r="Q67" s="13">
        <v>4</v>
      </c>
      <c r="R67" s="13">
        <v>4</v>
      </c>
      <c r="S67" s="13">
        <v>4</v>
      </c>
      <c r="T67" s="13">
        <v>3</v>
      </c>
      <c r="U67" s="11">
        <v>4</v>
      </c>
      <c r="V67" s="11">
        <v>3</v>
      </c>
      <c r="W67" s="11">
        <v>4</v>
      </c>
      <c r="X67" s="11">
        <v>3</v>
      </c>
      <c r="Y67" s="11">
        <v>4</v>
      </c>
      <c r="Z67" s="4">
        <f t="shared" si="14"/>
        <v>3.6</v>
      </c>
      <c r="AA67" s="4">
        <f t="shared" si="15"/>
        <v>3.5</v>
      </c>
      <c r="AB67" s="4">
        <f t="shared" si="16"/>
        <v>3.6</v>
      </c>
      <c r="AC67" s="4">
        <f t="shared" si="17"/>
        <v>3.6</v>
      </c>
      <c r="AD67" s="4">
        <f t="shared" si="18"/>
        <v>3.6</v>
      </c>
      <c r="AE67" s="4">
        <f t="shared" si="19"/>
        <v>3.5799999999999996</v>
      </c>
      <c r="AF67" s="1" t="str">
        <f t="shared" si="20"/>
        <v>Complete</v>
      </c>
      <c r="AG67" s="3"/>
    </row>
    <row r="68" spans="1:33" ht="22.95" customHeight="1" thickBot="1">
      <c r="A68" s="1" t="s">
        <v>224</v>
      </c>
      <c r="B68" s="10">
        <v>4</v>
      </c>
      <c r="C68" s="11">
        <v>3</v>
      </c>
      <c r="D68" s="11">
        <v>3</v>
      </c>
      <c r="E68" s="11">
        <v>4</v>
      </c>
      <c r="F68" s="11">
        <v>3</v>
      </c>
      <c r="G68" s="12">
        <v>4</v>
      </c>
      <c r="H68" s="12">
        <v>4</v>
      </c>
      <c r="I68" s="12">
        <v>4</v>
      </c>
      <c r="J68" s="12">
        <v>4</v>
      </c>
      <c r="K68" s="11">
        <v>3</v>
      </c>
      <c r="L68" s="11">
        <v>3</v>
      </c>
      <c r="M68" s="11">
        <v>4</v>
      </c>
      <c r="N68" s="11">
        <v>4</v>
      </c>
      <c r="O68" s="11">
        <v>4</v>
      </c>
      <c r="P68" s="13">
        <v>4</v>
      </c>
      <c r="Q68" s="13">
        <v>4</v>
      </c>
      <c r="R68" s="13">
        <v>3</v>
      </c>
      <c r="S68" s="13">
        <v>4</v>
      </c>
      <c r="T68" s="13">
        <v>4</v>
      </c>
      <c r="U68" s="11">
        <v>3</v>
      </c>
      <c r="V68" s="11">
        <v>4</v>
      </c>
      <c r="W68" s="11">
        <v>3</v>
      </c>
      <c r="X68" s="11">
        <v>4</v>
      </c>
      <c r="Y68" s="11">
        <v>3</v>
      </c>
      <c r="Z68" s="4">
        <f t="shared" si="14"/>
        <v>3.4</v>
      </c>
      <c r="AA68" s="4">
        <f t="shared" si="15"/>
        <v>4</v>
      </c>
      <c r="AB68" s="4">
        <f t="shared" si="16"/>
        <v>3.6</v>
      </c>
      <c r="AC68" s="4">
        <f t="shared" si="17"/>
        <v>3.8</v>
      </c>
      <c r="AD68" s="4">
        <f t="shared" si="18"/>
        <v>3.4</v>
      </c>
      <c r="AE68" s="4">
        <f t="shared" si="19"/>
        <v>3.6399999999999997</v>
      </c>
      <c r="AF68" s="1" t="str">
        <f t="shared" si="20"/>
        <v>Complete</v>
      </c>
      <c r="AG68" s="3"/>
    </row>
    <row r="69" spans="1:33" ht="22.95" customHeight="1" thickBot="1">
      <c r="A69" s="1" t="s">
        <v>225</v>
      </c>
      <c r="B69" s="10">
        <v>4</v>
      </c>
      <c r="C69" s="11">
        <v>4</v>
      </c>
      <c r="D69" s="11">
        <v>4</v>
      </c>
      <c r="E69" s="11">
        <v>3</v>
      </c>
      <c r="F69" s="11">
        <v>3</v>
      </c>
      <c r="G69" s="12">
        <v>4</v>
      </c>
      <c r="H69" s="12">
        <v>4</v>
      </c>
      <c r="I69" s="12">
        <v>4</v>
      </c>
      <c r="J69" s="12">
        <v>4</v>
      </c>
      <c r="K69" s="11">
        <v>3</v>
      </c>
      <c r="L69" s="11">
        <v>3</v>
      </c>
      <c r="M69" s="11">
        <v>4</v>
      </c>
      <c r="N69" s="11">
        <v>4</v>
      </c>
      <c r="O69" s="11">
        <v>3</v>
      </c>
      <c r="P69" s="13">
        <v>3</v>
      </c>
      <c r="Q69" s="13">
        <v>3</v>
      </c>
      <c r="R69" s="13">
        <v>3</v>
      </c>
      <c r="S69" s="13">
        <v>4</v>
      </c>
      <c r="T69" s="13">
        <v>4</v>
      </c>
      <c r="U69" s="11">
        <v>4</v>
      </c>
      <c r="V69" s="11">
        <v>4</v>
      </c>
      <c r="W69" s="11">
        <v>4</v>
      </c>
      <c r="X69" s="11">
        <v>3</v>
      </c>
      <c r="Y69" s="11">
        <v>3</v>
      </c>
      <c r="Z69" s="4">
        <f t="shared" si="14"/>
        <v>3.6</v>
      </c>
      <c r="AA69" s="4">
        <f t="shared" si="15"/>
        <v>4</v>
      </c>
      <c r="AB69" s="4">
        <f t="shared" si="16"/>
        <v>3.4</v>
      </c>
      <c r="AC69" s="4">
        <f t="shared" si="17"/>
        <v>3.4</v>
      </c>
      <c r="AD69" s="4">
        <f t="shared" si="18"/>
        <v>3.6</v>
      </c>
      <c r="AE69" s="4">
        <f t="shared" si="19"/>
        <v>3.6</v>
      </c>
      <c r="AF69" s="1" t="str">
        <f t="shared" si="20"/>
        <v>Complete</v>
      </c>
      <c r="AG69" s="3"/>
    </row>
    <row r="70" spans="1:33" ht="22.95" customHeight="1" thickBot="1">
      <c r="A70" s="1" t="s">
        <v>226</v>
      </c>
      <c r="B70" s="10">
        <v>4</v>
      </c>
      <c r="C70" s="11">
        <v>4</v>
      </c>
      <c r="D70" s="11">
        <v>4</v>
      </c>
      <c r="E70" s="11">
        <v>3</v>
      </c>
      <c r="F70" s="11">
        <v>3</v>
      </c>
      <c r="G70" s="12">
        <v>3</v>
      </c>
      <c r="H70" s="12">
        <v>3</v>
      </c>
      <c r="I70" s="12">
        <v>4</v>
      </c>
      <c r="J70" s="12">
        <v>4</v>
      </c>
      <c r="K70" s="11">
        <v>3</v>
      </c>
      <c r="L70" s="11">
        <v>3</v>
      </c>
      <c r="M70" s="11">
        <v>4</v>
      </c>
      <c r="N70" s="11">
        <v>4</v>
      </c>
      <c r="O70" s="11">
        <v>4</v>
      </c>
      <c r="P70" s="13">
        <v>4</v>
      </c>
      <c r="Q70" s="13">
        <v>4</v>
      </c>
      <c r="R70" s="13">
        <v>3</v>
      </c>
      <c r="S70" s="13">
        <v>3</v>
      </c>
      <c r="T70" s="13">
        <v>4</v>
      </c>
      <c r="U70" s="11">
        <v>4</v>
      </c>
      <c r="V70" s="11">
        <v>4</v>
      </c>
      <c r="W70" s="11">
        <v>4</v>
      </c>
      <c r="X70" s="11">
        <v>3</v>
      </c>
      <c r="Y70" s="11">
        <v>3</v>
      </c>
      <c r="Z70" s="4">
        <f t="shared" si="14"/>
        <v>3.6</v>
      </c>
      <c r="AA70" s="4">
        <f t="shared" si="15"/>
        <v>3.5</v>
      </c>
      <c r="AB70" s="4">
        <f t="shared" si="16"/>
        <v>3.6</v>
      </c>
      <c r="AC70" s="4">
        <f t="shared" si="17"/>
        <v>3.6</v>
      </c>
      <c r="AD70" s="4">
        <f t="shared" si="18"/>
        <v>3.6</v>
      </c>
      <c r="AE70" s="4">
        <f t="shared" si="19"/>
        <v>3.5799999999999996</v>
      </c>
      <c r="AF70" s="1" t="str">
        <f t="shared" si="20"/>
        <v>Complete</v>
      </c>
      <c r="AG70" s="3"/>
    </row>
    <row r="71" spans="1:33" ht="22.95" customHeight="1" thickBot="1">
      <c r="A71" s="1" t="s">
        <v>227</v>
      </c>
      <c r="B71" s="10">
        <v>4</v>
      </c>
      <c r="C71" s="11">
        <v>4</v>
      </c>
      <c r="D71" s="11">
        <v>2</v>
      </c>
      <c r="E71" s="11">
        <v>2</v>
      </c>
      <c r="F71" s="11">
        <v>4</v>
      </c>
      <c r="G71" s="12">
        <v>3</v>
      </c>
      <c r="H71" s="12">
        <v>3</v>
      </c>
      <c r="I71" s="12">
        <v>4</v>
      </c>
      <c r="J71" s="12">
        <v>4</v>
      </c>
      <c r="K71" s="11">
        <v>3</v>
      </c>
      <c r="L71" s="11">
        <v>3</v>
      </c>
      <c r="M71" s="11">
        <v>4</v>
      </c>
      <c r="N71" s="11">
        <v>4</v>
      </c>
      <c r="O71" s="11">
        <v>4</v>
      </c>
      <c r="P71" s="13">
        <v>3</v>
      </c>
      <c r="Q71" s="13">
        <v>4</v>
      </c>
      <c r="R71" s="13">
        <v>3</v>
      </c>
      <c r="S71" s="13">
        <v>4</v>
      </c>
      <c r="T71" s="13">
        <v>3</v>
      </c>
      <c r="U71" s="11">
        <v>3</v>
      </c>
      <c r="V71" s="11">
        <v>4</v>
      </c>
      <c r="W71" s="11">
        <v>3</v>
      </c>
      <c r="X71" s="11">
        <v>3</v>
      </c>
      <c r="Y71" s="11">
        <v>3</v>
      </c>
      <c r="Z71" s="4">
        <f t="shared" si="14"/>
        <v>3.2</v>
      </c>
      <c r="AA71" s="4">
        <f t="shared" si="15"/>
        <v>3.5</v>
      </c>
      <c r="AB71" s="4">
        <f t="shared" si="16"/>
        <v>3.6</v>
      </c>
      <c r="AC71" s="4">
        <f t="shared" si="17"/>
        <v>3.4</v>
      </c>
      <c r="AD71" s="4">
        <f t="shared" si="18"/>
        <v>3.2</v>
      </c>
      <c r="AE71" s="4">
        <f t="shared" si="19"/>
        <v>3.3800000000000003</v>
      </c>
      <c r="AF71" s="1" t="str">
        <f t="shared" si="20"/>
        <v>Complete</v>
      </c>
      <c r="AG71" s="3"/>
    </row>
    <row r="72" spans="1:33" ht="22.9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22.9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34.950000000000003" customHeight="1">
      <c r="A74" s="14" t="s">
        <v>228</v>
      </c>
      <c r="B74" s="14" t="s">
        <v>228</v>
      </c>
      <c r="C74" s="14" t="s">
        <v>228</v>
      </c>
      <c r="D74" s="14" t="s">
        <v>228</v>
      </c>
      <c r="E74" s="14" t="s">
        <v>228</v>
      </c>
      <c r="F74" s="14" t="s">
        <v>228</v>
      </c>
      <c r="G74" s="14" t="s">
        <v>228</v>
      </c>
      <c r="H74" s="14" t="s">
        <v>228</v>
      </c>
      <c r="I74" s="14" t="s">
        <v>228</v>
      </c>
      <c r="J74" s="14" t="s">
        <v>228</v>
      </c>
      <c r="K74" s="14" t="s">
        <v>228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34.950000000000003" customHeight="1">
      <c r="A75" s="14" t="s">
        <v>130</v>
      </c>
      <c r="B75" s="14" t="s">
        <v>130</v>
      </c>
      <c r="C75" s="14" t="s">
        <v>130</v>
      </c>
      <c r="D75" s="14" t="s">
        <v>130</v>
      </c>
      <c r="E75" s="14" t="s">
        <v>130</v>
      </c>
      <c r="F75" s="14" t="s">
        <v>130</v>
      </c>
      <c r="G75" s="14" t="s">
        <v>130</v>
      </c>
      <c r="H75" s="14" t="s">
        <v>130</v>
      </c>
      <c r="I75" s="14" t="s">
        <v>130</v>
      </c>
      <c r="J75" s="14" t="s">
        <v>130</v>
      </c>
      <c r="K75" s="14" t="s">
        <v>130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22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43.05" customHeight="1">
      <c r="A77" s="2" t="s">
        <v>131</v>
      </c>
      <c r="B77" s="16" t="s">
        <v>132</v>
      </c>
      <c r="C77" s="16" t="s">
        <v>132</v>
      </c>
      <c r="D77" s="16" t="s">
        <v>132</v>
      </c>
      <c r="E77" s="16" t="s">
        <v>132</v>
      </c>
      <c r="F77" s="16" t="s">
        <v>132</v>
      </c>
      <c r="G77" s="16" t="s">
        <v>132</v>
      </c>
      <c r="H77" s="16" t="s">
        <v>132</v>
      </c>
      <c r="I77" s="16" t="s">
        <v>132</v>
      </c>
      <c r="J77" s="16" t="s">
        <v>132</v>
      </c>
      <c r="K77" s="16" t="s">
        <v>132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43.95" customHeight="1">
      <c r="A78" s="1" t="s">
        <v>33</v>
      </c>
      <c r="B78" s="14" t="s">
        <v>229</v>
      </c>
      <c r="C78" s="14" t="s">
        <v>229</v>
      </c>
      <c r="D78" s="14" t="s">
        <v>229</v>
      </c>
      <c r="E78" s="14" t="s">
        <v>229</v>
      </c>
      <c r="F78" s="14" t="s">
        <v>229</v>
      </c>
      <c r="G78" s="14" t="s">
        <v>229</v>
      </c>
      <c r="H78" s="14" t="s">
        <v>229</v>
      </c>
      <c r="I78" s="14" t="s">
        <v>229</v>
      </c>
      <c r="J78" s="14" t="s">
        <v>229</v>
      </c>
      <c r="K78" s="14" t="s">
        <v>229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43.95" customHeight="1">
      <c r="A79" s="1" t="s">
        <v>34</v>
      </c>
      <c r="B79" s="14" t="s">
        <v>230</v>
      </c>
      <c r="C79" s="14" t="s">
        <v>230</v>
      </c>
      <c r="D79" s="14" t="s">
        <v>230</v>
      </c>
      <c r="E79" s="14" t="s">
        <v>230</v>
      </c>
      <c r="F79" s="14" t="s">
        <v>230</v>
      </c>
      <c r="G79" s="14" t="s">
        <v>230</v>
      </c>
      <c r="H79" s="14" t="s">
        <v>230</v>
      </c>
      <c r="I79" s="14" t="s">
        <v>230</v>
      </c>
      <c r="J79" s="14" t="s">
        <v>230</v>
      </c>
      <c r="K79" s="14" t="s">
        <v>230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43.95" customHeight="1">
      <c r="A80" s="1" t="s">
        <v>35</v>
      </c>
      <c r="B80" s="14" t="s">
        <v>231</v>
      </c>
      <c r="C80" s="14" t="s">
        <v>231</v>
      </c>
      <c r="D80" s="14" t="s">
        <v>231</v>
      </c>
      <c r="E80" s="14" t="s">
        <v>231</v>
      </c>
      <c r="F80" s="14" t="s">
        <v>231</v>
      </c>
      <c r="G80" s="14" t="s">
        <v>231</v>
      </c>
      <c r="H80" s="14" t="s">
        <v>231</v>
      </c>
      <c r="I80" s="14" t="s">
        <v>231</v>
      </c>
      <c r="J80" s="14" t="s">
        <v>231</v>
      </c>
      <c r="K80" s="14" t="s">
        <v>231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43.95" customHeight="1">
      <c r="A81" s="1" t="s">
        <v>36</v>
      </c>
      <c r="B81" s="14" t="s">
        <v>232</v>
      </c>
      <c r="C81" s="14" t="s">
        <v>232</v>
      </c>
      <c r="D81" s="14" t="s">
        <v>232</v>
      </c>
      <c r="E81" s="14" t="s">
        <v>232</v>
      </c>
      <c r="F81" s="14" t="s">
        <v>232</v>
      </c>
      <c r="G81" s="14" t="s">
        <v>232</v>
      </c>
      <c r="H81" s="14" t="s">
        <v>232</v>
      </c>
      <c r="I81" s="14" t="s">
        <v>232</v>
      </c>
      <c r="J81" s="14" t="s">
        <v>232</v>
      </c>
      <c r="K81" s="14" t="s">
        <v>232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43.95" customHeight="1">
      <c r="A82" s="1" t="s">
        <v>37</v>
      </c>
      <c r="B82" s="14" t="s">
        <v>233</v>
      </c>
      <c r="C82" s="14" t="s">
        <v>233</v>
      </c>
      <c r="D82" s="14" t="s">
        <v>233</v>
      </c>
      <c r="E82" s="14" t="s">
        <v>233</v>
      </c>
      <c r="F82" s="14" t="s">
        <v>233</v>
      </c>
      <c r="G82" s="14" t="s">
        <v>233</v>
      </c>
      <c r="H82" s="14" t="s">
        <v>233</v>
      </c>
      <c r="I82" s="14" t="s">
        <v>233</v>
      </c>
      <c r="J82" s="14" t="s">
        <v>233</v>
      </c>
      <c r="K82" s="14" t="s">
        <v>233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43.95" customHeight="1">
      <c r="A83" s="1" t="s">
        <v>38</v>
      </c>
      <c r="B83" s="14" t="s">
        <v>234</v>
      </c>
      <c r="C83" s="14" t="s">
        <v>234</v>
      </c>
      <c r="D83" s="14" t="s">
        <v>234</v>
      </c>
      <c r="E83" s="14" t="s">
        <v>234</v>
      </c>
      <c r="F83" s="14" t="s">
        <v>234</v>
      </c>
      <c r="G83" s="14" t="s">
        <v>234</v>
      </c>
      <c r="H83" s="14" t="s">
        <v>234</v>
      </c>
      <c r="I83" s="14" t="s">
        <v>234</v>
      </c>
      <c r="J83" s="14" t="s">
        <v>234</v>
      </c>
      <c r="K83" s="14" t="s">
        <v>234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43.95" customHeight="1">
      <c r="A84" s="1" t="s">
        <v>39</v>
      </c>
      <c r="B84" s="14" t="s">
        <v>235</v>
      </c>
      <c r="C84" s="14" t="s">
        <v>235</v>
      </c>
      <c r="D84" s="14" t="s">
        <v>235</v>
      </c>
      <c r="E84" s="14" t="s">
        <v>235</v>
      </c>
      <c r="F84" s="14" t="s">
        <v>235</v>
      </c>
      <c r="G84" s="14" t="s">
        <v>235</v>
      </c>
      <c r="H84" s="14" t="s">
        <v>235</v>
      </c>
      <c r="I84" s="14" t="s">
        <v>235</v>
      </c>
      <c r="J84" s="14" t="s">
        <v>235</v>
      </c>
      <c r="K84" s="14" t="s">
        <v>235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43.95" customHeight="1">
      <c r="A85" s="1" t="s">
        <v>40</v>
      </c>
      <c r="B85" s="14" t="s">
        <v>236</v>
      </c>
      <c r="C85" s="14" t="s">
        <v>236</v>
      </c>
      <c r="D85" s="14" t="s">
        <v>236</v>
      </c>
      <c r="E85" s="14" t="s">
        <v>236</v>
      </c>
      <c r="F85" s="14" t="s">
        <v>236</v>
      </c>
      <c r="G85" s="14" t="s">
        <v>236</v>
      </c>
      <c r="H85" s="14" t="s">
        <v>236</v>
      </c>
      <c r="I85" s="14" t="s">
        <v>236</v>
      </c>
      <c r="J85" s="14" t="s">
        <v>236</v>
      </c>
      <c r="K85" s="14" t="s">
        <v>236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43.95" customHeight="1">
      <c r="A86" s="1" t="s">
        <v>41</v>
      </c>
      <c r="B86" s="14" t="s">
        <v>237</v>
      </c>
      <c r="C86" s="14" t="s">
        <v>237</v>
      </c>
      <c r="D86" s="14" t="s">
        <v>237</v>
      </c>
      <c r="E86" s="14" t="s">
        <v>237</v>
      </c>
      <c r="F86" s="14" t="s">
        <v>237</v>
      </c>
      <c r="G86" s="14" t="s">
        <v>237</v>
      </c>
      <c r="H86" s="14" t="s">
        <v>237</v>
      </c>
      <c r="I86" s="14" t="s">
        <v>237</v>
      </c>
      <c r="J86" s="14" t="s">
        <v>237</v>
      </c>
      <c r="K86" s="14" t="s">
        <v>237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43.95" customHeight="1">
      <c r="A87" s="1" t="s">
        <v>42</v>
      </c>
      <c r="B87" s="14" t="s">
        <v>238</v>
      </c>
      <c r="C87" s="14" t="s">
        <v>238</v>
      </c>
      <c r="D87" s="14" t="s">
        <v>238</v>
      </c>
      <c r="E87" s="14" t="s">
        <v>238</v>
      </c>
      <c r="F87" s="14" t="s">
        <v>238</v>
      </c>
      <c r="G87" s="14" t="s">
        <v>238</v>
      </c>
      <c r="H87" s="14" t="s">
        <v>238</v>
      </c>
      <c r="I87" s="14" t="s">
        <v>238</v>
      </c>
      <c r="J87" s="14" t="s">
        <v>238</v>
      </c>
      <c r="K87" s="14" t="s">
        <v>238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43.95" customHeight="1">
      <c r="A88" s="1" t="s">
        <v>43</v>
      </c>
      <c r="B88" s="14" t="s">
        <v>239</v>
      </c>
      <c r="C88" s="14" t="s">
        <v>239</v>
      </c>
      <c r="D88" s="14" t="s">
        <v>239</v>
      </c>
      <c r="E88" s="14" t="s">
        <v>239</v>
      </c>
      <c r="F88" s="14" t="s">
        <v>239</v>
      </c>
      <c r="G88" s="14" t="s">
        <v>239</v>
      </c>
      <c r="H88" s="14" t="s">
        <v>239</v>
      </c>
      <c r="I88" s="14" t="s">
        <v>239</v>
      </c>
      <c r="J88" s="14" t="s">
        <v>239</v>
      </c>
      <c r="K88" s="14" t="s">
        <v>239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43.95" customHeight="1">
      <c r="A89" s="1" t="s">
        <v>44</v>
      </c>
      <c r="B89" s="14" t="s">
        <v>240</v>
      </c>
      <c r="C89" s="14" t="s">
        <v>240</v>
      </c>
      <c r="D89" s="14" t="s">
        <v>240</v>
      </c>
      <c r="E89" s="14" t="s">
        <v>240</v>
      </c>
      <c r="F89" s="14" t="s">
        <v>240</v>
      </c>
      <c r="G89" s="14" t="s">
        <v>240</v>
      </c>
      <c r="H89" s="14" t="s">
        <v>240</v>
      </c>
      <c r="I89" s="14" t="s">
        <v>240</v>
      </c>
      <c r="J89" s="14" t="s">
        <v>240</v>
      </c>
      <c r="K89" s="14" t="s">
        <v>240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43.95" customHeight="1">
      <c r="A90" s="1" t="s">
        <v>45</v>
      </c>
      <c r="B90" s="14" t="s">
        <v>241</v>
      </c>
      <c r="C90" s="14" t="s">
        <v>241</v>
      </c>
      <c r="D90" s="14" t="s">
        <v>241</v>
      </c>
      <c r="E90" s="14" t="s">
        <v>241</v>
      </c>
      <c r="F90" s="14" t="s">
        <v>241</v>
      </c>
      <c r="G90" s="14" t="s">
        <v>241</v>
      </c>
      <c r="H90" s="14" t="s">
        <v>241</v>
      </c>
      <c r="I90" s="14" t="s">
        <v>241</v>
      </c>
      <c r="J90" s="14" t="s">
        <v>241</v>
      </c>
      <c r="K90" s="14" t="s">
        <v>241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43.95" customHeight="1">
      <c r="A91" s="1" t="s">
        <v>46</v>
      </c>
      <c r="B91" s="14" t="s">
        <v>242</v>
      </c>
      <c r="C91" s="14" t="s">
        <v>242</v>
      </c>
      <c r="D91" s="14" t="s">
        <v>242</v>
      </c>
      <c r="E91" s="14" t="s">
        <v>242</v>
      </c>
      <c r="F91" s="14" t="s">
        <v>242</v>
      </c>
      <c r="G91" s="14" t="s">
        <v>242</v>
      </c>
      <c r="H91" s="14" t="s">
        <v>242</v>
      </c>
      <c r="I91" s="14" t="s">
        <v>242</v>
      </c>
      <c r="J91" s="14" t="s">
        <v>242</v>
      </c>
      <c r="K91" s="14" t="s">
        <v>242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43.95" customHeight="1">
      <c r="A92" s="1" t="s">
        <v>47</v>
      </c>
      <c r="B92" s="14" t="s">
        <v>243</v>
      </c>
      <c r="C92" s="14" t="s">
        <v>243</v>
      </c>
      <c r="D92" s="14" t="s">
        <v>243</v>
      </c>
      <c r="E92" s="14" t="s">
        <v>243</v>
      </c>
      <c r="F92" s="14" t="s">
        <v>243</v>
      </c>
      <c r="G92" s="14" t="s">
        <v>243</v>
      </c>
      <c r="H92" s="14" t="s">
        <v>243</v>
      </c>
      <c r="I92" s="14" t="s">
        <v>243</v>
      </c>
      <c r="J92" s="14" t="s">
        <v>243</v>
      </c>
      <c r="K92" s="14" t="s">
        <v>243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43.95" customHeight="1">
      <c r="A93" s="1" t="s">
        <v>48</v>
      </c>
      <c r="B93" s="14" t="s">
        <v>244</v>
      </c>
      <c r="C93" s="14" t="s">
        <v>244</v>
      </c>
      <c r="D93" s="14" t="s">
        <v>244</v>
      </c>
      <c r="E93" s="14" t="s">
        <v>244</v>
      </c>
      <c r="F93" s="14" t="s">
        <v>244</v>
      </c>
      <c r="G93" s="14" t="s">
        <v>244</v>
      </c>
      <c r="H93" s="14" t="s">
        <v>244</v>
      </c>
      <c r="I93" s="14" t="s">
        <v>244</v>
      </c>
      <c r="J93" s="14" t="s">
        <v>244</v>
      </c>
      <c r="K93" s="14" t="s">
        <v>244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43.95" customHeight="1">
      <c r="A94" s="1" t="s">
        <v>49</v>
      </c>
      <c r="B94" s="14" t="s">
        <v>245</v>
      </c>
      <c r="C94" s="14" t="s">
        <v>245</v>
      </c>
      <c r="D94" s="14" t="s">
        <v>245</v>
      </c>
      <c r="E94" s="14" t="s">
        <v>245</v>
      </c>
      <c r="F94" s="14" t="s">
        <v>245</v>
      </c>
      <c r="G94" s="14" t="s">
        <v>245</v>
      </c>
      <c r="H94" s="14" t="s">
        <v>245</v>
      </c>
      <c r="I94" s="14" t="s">
        <v>245</v>
      </c>
      <c r="J94" s="14" t="s">
        <v>245</v>
      </c>
      <c r="K94" s="14" t="s">
        <v>245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43.95" customHeight="1">
      <c r="A95" s="1" t="s">
        <v>50</v>
      </c>
      <c r="B95" s="14" t="s">
        <v>246</v>
      </c>
      <c r="C95" s="14" t="s">
        <v>246</v>
      </c>
      <c r="D95" s="14" t="s">
        <v>246</v>
      </c>
      <c r="E95" s="14" t="s">
        <v>246</v>
      </c>
      <c r="F95" s="14" t="s">
        <v>246</v>
      </c>
      <c r="G95" s="14" t="s">
        <v>246</v>
      </c>
      <c r="H95" s="14" t="s">
        <v>246</v>
      </c>
      <c r="I95" s="14" t="s">
        <v>246</v>
      </c>
      <c r="J95" s="14" t="s">
        <v>246</v>
      </c>
      <c r="K95" s="14" t="s">
        <v>246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43.95" customHeight="1">
      <c r="A96" s="1" t="s">
        <v>51</v>
      </c>
      <c r="B96" s="14" t="s">
        <v>247</v>
      </c>
      <c r="C96" s="14" t="s">
        <v>247</v>
      </c>
      <c r="D96" s="14" t="s">
        <v>247</v>
      </c>
      <c r="E96" s="14" t="s">
        <v>247</v>
      </c>
      <c r="F96" s="14" t="s">
        <v>247</v>
      </c>
      <c r="G96" s="14" t="s">
        <v>247</v>
      </c>
      <c r="H96" s="14" t="s">
        <v>247</v>
      </c>
      <c r="I96" s="14" t="s">
        <v>247</v>
      </c>
      <c r="J96" s="14" t="s">
        <v>247</v>
      </c>
      <c r="K96" s="14" t="s">
        <v>247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43.95" customHeight="1">
      <c r="A97" s="1" t="s">
        <v>52</v>
      </c>
      <c r="B97" s="14" t="s">
        <v>248</v>
      </c>
      <c r="C97" s="14" t="s">
        <v>248</v>
      </c>
      <c r="D97" s="14" t="s">
        <v>248</v>
      </c>
      <c r="E97" s="14" t="s">
        <v>248</v>
      </c>
      <c r="F97" s="14" t="s">
        <v>248</v>
      </c>
      <c r="G97" s="14" t="s">
        <v>248</v>
      </c>
      <c r="H97" s="14" t="s">
        <v>248</v>
      </c>
      <c r="I97" s="14" t="s">
        <v>248</v>
      </c>
      <c r="J97" s="14" t="s">
        <v>248</v>
      </c>
      <c r="K97" s="14" t="s">
        <v>248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43.95" customHeight="1">
      <c r="A98" s="1" t="s">
        <v>53</v>
      </c>
      <c r="B98" s="14" t="s">
        <v>249</v>
      </c>
      <c r="C98" s="14" t="s">
        <v>249</v>
      </c>
      <c r="D98" s="14" t="s">
        <v>249</v>
      </c>
      <c r="E98" s="14" t="s">
        <v>249</v>
      </c>
      <c r="F98" s="14" t="s">
        <v>249</v>
      </c>
      <c r="G98" s="14" t="s">
        <v>249</v>
      </c>
      <c r="H98" s="14" t="s">
        <v>249</v>
      </c>
      <c r="I98" s="14" t="s">
        <v>249</v>
      </c>
      <c r="J98" s="14" t="s">
        <v>249</v>
      </c>
      <c r="K98" s="14" t="s">
        <v>249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43.95" customHeight="1">
      <c r="A99" s="1" t="s">
        <v>54</v>
      </c>
      <c r="B99" s="14" t="s">
        <v>250</v>
      </c>
      <c r="C99" s="14" t="s">
        <v>250</v>
      </c>
      <c r="D99" s="14" t="s">
        <v>250</v>
      </c>
      <c r="E99" s="14" t="s">
        <v>250</v>
      </c>
      <c r="F99" s="14" t="s">
        <v>250</v>
      </c>
      <c r="G99" s="14" t="s">
        <v>250</v>
      </c>
      <c r="H99" s="14" t="s">
        <v>250</v>
      </c>
      <c r="I99" s="14" t="s">
        <v>250</v>
      </c>
      <c r="J99" s="14" t="s">
        <v>250</v>
      </c>
      <c r="K99" s="14" t="s">
        <v>250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43.95" customHeight="1">
      <c r="A100" s="1" t="s">
        <v>55</v>
      </c>
      <c r="B100" s="14" t="s">
        <v>251</v>
      </c>
      <c r="C100" s="14" t="s">
        <v>251</v>
      </c>
      <c r="D100" s="14" t="s">
        <v>251</v>
      </c>
      <c r="E100" s="14" t="s">
        <v>251</v>
      </c>
      <c r="F100" s="14" t="s">
        <v>251</v>
      </c>
      <c r="G100" s="14" t="s">
        <v>251</v>
      </c>
      <c r="H100" s="14" t="s">
        <v>251</v>
      </c>
      <c r="I100" s="14" t="s">
        <v>251</v>
      </c>
      <c r="J100" s="14" t="s">
        <v>251</v>
      </c>
      <c r="K100" s="14" t="s">
        <v>251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43.95" customHeight="1">
      <c r="A101" s="1" t="s">
        <v>56</v>
      </c>
      <c r="B101" s="14" t="s">
        <v>252</v>
      </c>
      <c r="C101" s="14" t="s">
        <v>252</v>
      </c>
      <c r="D101" s="14" t="s">
        <v>252</v>
      </c>
      <c r="E101" s="14" t="s">
        <v>252</v>
      </c>
      <c r="F101" s="14" t="s">
        <v>252</v>
      </c>
      <c r="G101" s="14" t="s">
        <v>252</v>
      </c>
      <c r="H101" s="14" t="s">
        <v>252</v>
      </c>
      <c r="I101" s="14" t="s">
        <v>252</v>
      </c>
      <c r="J101" s="14" t="s">
        <v>252</v>
      </c>
      <c r="K101" s="14" t="s">
        <v>252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22.9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37.950000000000003" customHeight="1">
      <c r="A103" s="14" t="s">
        <v>157</v>
      </c>
      <c r="B103" s="14" t="s">
        <v>157</v>
      </c>
      <c r="C103" s="14" t="s">
        <v>157</v>
      </c>
      <c r="D103" s="14" t="s">
        <v>157</v>
      </c>
      <c r="E103" s="14" t="s">
        <v>157</v>
      </c>
      <c r="F103" s="14" t="s">
        <v>157</v>
      </c>
      <c r="G103" s="14" t="s">
        <v>157</v>
      </c>
      <c r="H103" s="14" t="s">
        <v>157</v>
      </c>
      <c r="I103" s="14" t="s">
        <v>157</v>
      </c>
      <c r="J103" s="14" t="s">
        <v>157</v>
      </c>
      <c r="K103" s="14" t="s">
        <v>157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22.9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22.9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</sheetData>
  <mergeCells count="28">
    <mergeCell ref="A74:K74"/>
    <mergeCell ref="A75:K75"/>
    <mergeCell ref="B77:K77"/>
    <mergeCell ref="B78:K78"/>
    <mergeCell ref="B79:K79"/>
    <mergeCell ref="B80:K80"/>
    <mergeCell ref="B81:K81"/>
    <mergeCell ref="B82:K82"/>
    <mergeCell ref="B83:K83"/>
    <mergeCell ref="B84:K84"/>
    <mergeCell ref="B85:K85"/>
    <mergeCell ref="B86:K86"/>
    <mergeCell ref="B87:K87"/>
    <mergeCell ref="B88:K88"/>
    <mergeCell ref="B89:K89"/>
    <mergeCell ref="B90:K90"/>
    <mergeCell ref="B91:K91"/>
    <mergeCell ref="B92:K92"/>
    <mergeCell ref="B93:K93"/>
    <mergeCell ref="B94:K94"/>
    <mergeCell ref="B100:K100"/>
    <mergeCell ref="B101:K101"/>
    <mergeCell ref="A103:K103"/>
    <mergeCell ref="B95:K95"/>
    <mergeCell ref="B96:K96"/>
    <mergeCell ref="B97:K97"/>
    <mergeCell ref="B98:K98"/>
    <mergeCell ref="B99:K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Manual</vt:lpstr>
      <vt:lpstr>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Justine Mendoza</cp:lastModifiedBy>
  <dcterms:modified xsi:type="dcterms:W3CDTF">2026-10-04T14:14:42Z</dcterms:modified>
</cp:coreProperties>
</file>