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Security Personnel" sheetId="2" r:id="rId6"/>
    <sheet state="visible" name="Admin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2">
      <text>
        <t xml:space="preserve">Worked example from your guide (30 x '4' + 10 x '3', n=40 -&gt; Weighted Mean 3.75). Overwrite B6:E6 with your actual tally.</t>
      </text>
    </comment>
    <comment authorId="0" ref="B171">
      <text>
        <t xml:space="preserve">Worked example from your guide (30 x '4' + 10 x '3', n=40 -&gt; Weighted Mean 3.75). Overwrite B6:E6 with your actual tally.</t>
      </text>
    </comment>
    <comment authorId="0" ref="C172">
      <text>
        <t xml:space="preserve">Worked example from your guide (30 x '4' + 10 x '3', n=40 -&gt; Weighted Mean 3.75). Overwrite B6:E6 with your actual tally.</t>
      </text>
    </comment>
    <comment authorId="0" ref="B170">
      <text>
        <t xml:space="preserve">Worked example from your guide (30 x '4' + 10 x '3', n=40 -&gt; Weighted Mean 3.75). Overwrite B6:E6 with your actual tally.</t>
      </text>
    </comment>
    <comment authorId="0" ref="C171">
      <text>
        <t xml:space="preserve">Worked example from your guide (30 x '4' + 10 x '3', n=40 -&gt; Weighted Mean 3.75). Overwrite B6:E6 with your actual tally.</t>
      </text>
    </comment>
    <comment authorId="0" ref="D172">
      <text>
        <t xml:space="preserve">Worked example from your guide (30 x '4' + 10 x '3', n=40 -&gt; Weighted Mean 3.75). Overwrite B6:E6 with your actual tally.</t>
      </text>
    </comment>
    <comment authorId="0" ref="B169">
      <text>
        <t xml:space="preserve">Worked example from your guide (30 x '4' + 10 x '3', n=40 -&gt; Weighted Mean 3.75). Overwrite B6:E6 with your actual tally.</t>
      </text>
    </comment>
    <comment authorId="0" ref="C170">
      <text>
        <t xml:space="preserve">Worked example from your guide (30 x '4' + 10 x '3', n=40 -&gt; Weighted Mean 3.75). Overwrite B6:E6 with your actual tally.</t>
      </text>
    </comment>
    <comment authorId="0" ref="D171">
      <text>
        <t xml:space="preserve">Worked example from your guide (30 x '4' + 10 x '3', n=40 -&gt; Weighted Mean 3.75). Overwrite B6:E6 with your actual tally.</t>
      </text>
    </comment>
    <comment authorId="0" ref="B168">
      <text>
        <t xml:space="preserve">Wrked example from your guide (30 x '4' + 10 x '3', n=40 -&gt; Weighted Mean 3.75). Overwrite B6:E6 with your actual tally.</t>
      </text>
    </comment>
    <comment authorId="0" ref="C169">
      <text>
        <t xml:space="preserve">Worked example from your guide (30 x '4' + 10 x '3', n=40 -&gt; Weighted Mean 3.75). Overwrite B6:E6 with your actual tally.</t>
      </text>
    </comment>
    <comment authorId="0" ref="D170">
      <text>
        <t xml:space="preserve">Worked example from your guide (30 x '4' + 10 x '3', n=40 -&gt; Weighted Mean 3.75). Overwrite B6:E6 with your actual tally.</t>
      </text>
    </comment>
    <comment authorId="0" ref="C168">
      <text>
        <t xml:space="preserve">Worked example from your guide (30 x '4' + 10 x '3', n=40 -&gt; Weighted Mean 3.75). Overwrite B6:E6 with your actual tally.</t>
      </text>
    </comment>
    <comment authorId="0" ref="D169">
      <text>
        <t xml:space="preserve">Worked example from your guide (30 x '4' + 10 x '3', n=40 -&gt; Weighted Mean 3.75). Overwrite B6:E6 with your actual tally.</t>
      </text>
    </comment>
    <comment authorId="0" ref="D168">
      <text>
        <t xml:space="preserve">Worked example from your guide (30 x '4' + 10 x '3', n=40 -&gt; Weighted Mean 3.75). Overwrite B6:E6 with your actual tally.</t>
      </text>
    </comment>
    <comment authorId="0" ref="B5">
      <text>
        <t xml:space="preserve">Worked example from your guide (30 x '4' + 10 x '3', n=40 -&gt; Weighted Mean 3.75). Overwrite B6:E6 with your actual tally.</t>
      </text>
    </comment>
  </commentList>
</comments>
</file>

<file path=xl/sharedStrings.xml><?xml version="1.0" encoding="utf-8"?>
<sst xmlns="http://schemas.openxmlformats.org/spreadsheetml/2006/main" count="252" uniqueCount="144">
  <si>
    <t>ADMINISTRATOR EVALUATION — WEIGHTED MEAN &amp; VERBAL INTERPRETATION WORKSHEET (ISO/IEC 25010)</t>
  </si>
  <si>
    <t>SECURITY PERSONNEL EVALUATION — WEIGHTED MEAN &amp; VERBAL INTERPRETATION WORKSHEET (ISO/IEC 25010)</t>
  </si>
  <si>
    <t>STUDENT EVALUATION — WEIGHTED MEAN &amp; VERBAL INTERPRETATION WORKSHEET (ISO/IEC 25010)</t>
  </si>
  <si>
    <t>AWAITING QUESTIONNAIRE: Upload the Administrator survey and this tab will be filled in the same way as the Students tab (one row per question, same 5 ISO/IEC 25010 categories, same formulas). Structure is pre-built below so it's ready to go.</t>
  </si>
  <si>
    <t>AWAITING QUESTIONNAIRE: Upload the Security Personnel survey and this tab will be filled in the same way as the Students tab (one row per question, same 5 ISO/IEC 25010 categories, same formulas). Structure is pre-built below so it's ready to go.</t>
  </si>
  <si>
    <t>Indicators (Survey Questions)</t>
  </si>
  <si>
    <t>HOW TO USE: Tally each physical survey and type the counts into the yellow cells (Rating 4–1) for every question. N, Total Score, Weighted Mean, and Verbal Interpretation calculate automatically — do not type into those columns. "Overall Category Mean" is the average of that category's item means; the bottom row is the average across all 5 categories. Row 6 (Q1) is pre-filled with the worked example from your own guide (30 Strongly Agree + 10 Agree, n=40) so you can see the formulas working — overwrite B6:E6 with your real tally first.</t>
  </si>
  <si>
    <t>Rating 4
(Strongly Agree)</t>
  </si>
  <si>
    <t>Rating 3
(Agree)</t>
  </si>
  <si>
    <t>Rating 2
(Disagree)</t>
  </si>
  <si>
    <t>Rating 1
(Strongly Disagree)</t>
  </si>
  <si>
    <t>N
(Respondents)</t>
  </si>
  <si>
    <t>Total Score</t>
  </si>
  <si>
    <t>Weighted Mean</t>
  </si>
  <si>
    <t>Verbal Interpretation</t>
  </si>
  <si>
    <t>I. FUNCTIONAL SUITABILITY</t>
  </si>
  <si>
    <t>[Paste this group's question text here once the questionnaire is uploaded]</t>
  </si>
  <si>
    <t>II. PERFORMANCE EFFICIENCY</t>
  </si>
  <si>
    <t>Standard Deviation</t>
  </si>
  <si>
    <t>1. The layout of the security monitoring screen is organized, intuitive, and easy to read at a quick glance.</t>
  </si>
  <si>
    <t>III. USABILITY</t>
  </si>
  <si>
    <t>1. The system effectively meets the functional requirement of verifying my student identity using NFC, PIN, and QR codes.</t>
  </si>
  <si>
    <t>IV. RELIABILITY</t>
  </si>
  <si>
    <t>V. SECURITY</t>
  </si>
  <si>
    <t>2. The system performs the attendance and entry verification tasks accurately and completely.</t>
  </si>
  <si>
    <t>3. The features of the system are highly relevant to the problem of monitoring student attendance and campus entry.</t>
  </si>
  <si>
    <t>4. The system provides appropriate outputs (e.g., visual or audio confirmation) when I input my credentials.</t>
  </si>
  <si>
    <t>c</t>
  </si>
  <si>
    <t>5. The overall functionality successfully aligns with the objective of providing a secure attendance system.</t>
  </si>
  <si>
    <t>Overall Category Mean</t>
  </si>
  <si>
    <t>1. The system responds quickly when I tap my NFC card, enter my PIN, or scan my QR code.</t>
  </si>
  <si>
    <t>2. The system performs well and verifies my entry smoothly even when there is a long line of students.</t>
  </si>
  <si>
    <t>3. The system maintains consistent verification speed and performance throughout the entire entry process.</t>
  </si>
  <si>
    <t>4. The overall speed and performance of the system meet my expectations for an attendance process.</t>
  </si>
  <si>
    <t>1. The physical interface of the verification terminal (keypad, scanner, screen) is intuitive and easy to navigate.</t>
  </si>
  <si>
    <t>2. The system provides clear instructions and feedback on what step to do next (e.g., when to tap or scan).</t>
  </si>
  <si>
    <t>3. The design and layout of the verification terminal enhance my overall user experience.</t>
  </si>
  <si>
    <t>4. I was able to learn how to operate the system (tap, PIN, scan) with minimal to no training.</t>
  </si>
  <si>
    <t>5. The system supports accessibility and is straightforward enough to be used by all types of students.</t>
  </si>
  <si>
    <t>1. The system processes my verification consistently without unexpected failures or freezing.</t>
  </si>
  <si>
    <t>2. If a minor error occurs (e.g., wrong PIN entered), the system allows me to recover easily and try again.</t>
  </si>
  <si>
    <t>3. I trust that the system accurately records and maintains the integrity of my attendance data.</t>
  </si>
  <si>
    <t>4. The system successfully reads my inputs under different physical conditions (e.g., fast tapping, minor screen glare).</t>
  </si>
  <si>
    <t>5. The system demonstrates stable performance from the start to the end of my verification process.</t>
  </si>
  <si>
    <t>1. The system effectively protects my personal attendance data from unauthorized viewing by others in line.</t>
  </si>
  <si>
    <t>2. The two-factor authentication (PIN and QR) successfully confirms my true identity.</t>
  </si>
  <si>
    <t>3. I feel confident that my sensitive credentials (NFC, PIN, QR) are handled securely during verification.</t>
  </si>
  <si>
    <t>4. The system's design includes measures that prevent common threats, such as others copying or stealing my credentials.</t>
  </si>
  <si>
    <t>5. The multi-factor process successfully maintains the confidentiality and security of my campus entry.</t>
  </si>
  <si>
    <t>OVERALL SYSTEM WEIGHTED MEAN (All Categories)</t>
  </si>
  <si>
    <t>1. The system provides me with the necessary on-screen information (e.g., student name, ID number, entry status) to accurately verify the identities of individuals entering the campus.</t>
  </si>
  <si>
    <t>2. The security dashboard correctly logs and displays real-time entry records as students pass through the gate.</t>
  </si>
  <si>
    <t>3. The monitoring features provided by the system are highly relevant to my daily tasks of controlling campus entry and identifying unverified individuals.</t>
  </si>
  <si>
    <t>4. The system provides clear visual or audio alerts on the monitoring screen when access is either successfully granted or denied.</t>
  </si>
  <si>
    <t>5. The overall functionality successfully supports security personnel in enforcing gate protocols more effectively than traditional methods.</t>
  </si>
  <si>
    <t>1. The monitoring screen updates immediately without lag when a student taps their card or enters their PIN at the terminal.</t>
  </si>
  <si>
    <t>2. The dashboard handles rapid, successive entries smoothly, allowing me to continuously monitor a fast-moving queue without system slowdowns.</t>
  </si>
  <si>
    <t>3. The system maintains a consistent response time and screen performance throughout my shift or the entire evaluation period.</t>
  </si>
  <si>
    <t>4. The speed at which the system processes entries and alerts me to potential issues meets my expectations for an efficient gate monitoring process.</t>
  </si>
  <si>
    <t>2. The system effectively highlights critical information (e.g., using clear color codes like green for "Pass" and red for "Denied") so I know exactly when to intervene.</t>
  </si>
  <si>
    <t>3. I was able to learn how to monitor the dashboard and interpret system alerts with minimal to no training.</t>
  </si>
  <si>
    <t>4. The student information (e.g., Name, ID Number, Status) displayed on the monitoring screen is clear and easy to read from a comfortable standing distance.</t>
  </si>
  <si>
    <t>5. Navigating the security interface is straightforward enough to be used efficiently by all assigned security personnel, regardless of technical background.</t>
  </si>
  <si>
    <t>1. The security monitoring dashboard runs consistently without unexpected freezing, crashing, or losing connection.</t>
  </si>
  <si>
    <t>2. If a minor sync error occurs between the terminal and the monitor, the interface recovers quickly without disrupting the monitoring of the gate.</t>
  </si>
  <si>
    <t>3. I trust that the alerts and statuses displayed on my screen accurately reflect what is happening at the student terminal in real-time.</t>
  </si>
  <si>
    <t>4. The system reliably and consistently flags suspicious activities (e.g., repeated failed PIN attempts) every time they occur during testing.</t>
  </si>
  <si>
    <t>5. The system demonstrates stable and dependable monitoring capabilities from the start to the end of the evaluation process.</t>
  </si>
  <si>
    <t>1. The monitoring screen displays only the necessary student information to me, preventing the unnecessary exposure of their private data to bystanders.</t>
  </si>
  <si>
    <t>2. The system provides me with enough reliable data to confidently confirm if the person at the gate is the true owner of the credentials.</t>
  </si>
  <si>
    <t>3. I feel confident relying on the system's alerts to prevent unauthorized individuals or outsiders from bypassing the gate.</t>
  </si>
  <si>
    <t>4. The system effectively detects and alerts me to common security threats, such as students passing back IDs for others to use.</t>
  </si>
  <si>
    <t>5. The implementation of this system enhances the overall physical security of the campus compared to traditional visual-check methods.</t>
  </si>
  <si>
    <t>FACULTY/ EVENT ORGANIZER/ ADMIN EVALUATION — WEIGHTED MEAN &amp; VERBAL INTERPRETATION WORKSHEET (ISO/IEC 25010)</t>
  </si>
  <si>
    <t>1. The dashboard provides all necessary features to successfully create, configure, and manage university events.</t>
  </si>
  <si>
    <t>2. The system effectively categorizes and generates accurate attendance records by College, Section, Year Level, and specific Event.</t>
  </si>
  <si>
    <t>3. The system allows me to easily configure and switch between different verification modes as required for specific events or gate protocols.</t>
  </si>
  <si>
    <t>4. The centralized monitoring and alert functions provide relevant and accurate information for administrative oversight.</t>
  </si>
  <si>
    <t>5. Overall, the system's administrative features completely align with the needs of event organizers and faculty members.</t>
  </si>
  <si>
    <t>1. The centralized dashboard loads quickly and reflects real-time gate and event attendance data without noticeable delay.</t>
  </si>
  <si>
    <t>2. Generating complex attendance reports (e.g., filtering by multiple categories) is processed and completed in a reasonable amount of time.</t>
  </si>
  <si>
    <t>3. The system handles multiple administrative actions smoothly, even when receiving rapid data inputs from the verification terminals.</t>
  </si>
  <si>
    <t>4. The dashboard maintains consistent performance and does not slow down when processing or storing large amounts of attendance data.</t>
  </si>
  <si>
    <t>5. The overall speed of the backend system meets my expectations for efficient event and attendance management.</t>
  </si>
  <si>
    <t>III. COMPATIBILITY</t>
  </si>
  <si>
    <t>1. The exported attendance reports (e.g., CSV, Excel, PDF) are fully compatible with standard office software used by the university.</t>
  </si>
  <si>
    <t>2. The system operates smoothly without negatively interfering with other existing administrative software or network tools.</t>
  </si>
  <si>
    <t>3. The generated data is structured in a way that could easily be integrated with existing university databases in the future.</t>
  </si>
  <si>
    <t>4. The system performs consistently regardless of the type of computer or operating system I use to access the admin dashboard.</t>
  </si>
  <si>
    <t>IV. USABILITY</t>
  </si>
  <si>
    <t>1. The layout and navigation menus of the centralized dashboard are logical, well-organized, and easy to understand.</t>
  </si>
  <si>
    <t>2. The process of generating reports and filtering attendance lists is straightforward and does not require complex steps.</t>
  </si>
  <si>
    <t>3. I am able to create a new event, assign verification modes, and launch the monitoring screen with minimal effort.</t>
  </si>
  <si>
    <t>4. The system provides clear visual feedback or error messages if I input incomplete or incorrect settings during event creation.</t>
  </si>
  <si>
    <t>5. I would require very minimal training to confidently use all the administrative functions of this system.</t>
  </si>
  <si>
    <t>V. RELIABILITY</t>
  </si>
  <si>
    <t>1. The centralized dashboard operates consistently without unexpected crashes, freezing, or downtime during active monitoring.</t>
  </si>
  <si>
    <t>2. All configured event settings and recorded attendance data are saved securely without unexpected loss of records.</t>
  </si>
  <si>
    <t>3. In the event of a minor disruption (e.g., a brief internet drop), the dashboard recovers quickly and resumes synchronization properly.</t>
  </si>
  <si>
    <t>4. I can trust the system to accurately reflect exactly what is happening at the verification terminals without data discrepancies.</t>
  </si>
  <si>
    <t>5. The administrative system demonstrates a high level of stability from setup to the conclusion of the event evaluation.</t>
  </si>
  <si>
    <t>VI. SECURITY</t>
  </si>
  <si>
    <t>1. The system requires proper authentication (e.g., secure admin login) before granting access to the centralized dashboard.</t>
  </si>
  <si>
    <t>2. Administrative privileges are strictly enforced, ensuring unauthorized users or students cannot alter event settings or attendance records.</t>
  </si>
  <si>
    <t>3. Sensitive student data within the attendance database is adequately protected from unauthorized viewing or extraction.</t>
  </si>
  <si>
    <t>4. The system architecture prevents common data manipulations, ensuring that generated attendance reports are legitimate and untampered.</t>
  </si>
  <si>
    <t>5. I feel confident that the system provides a secure environment for managing university-level event data.</t>
  </si>
  <si>
    <t>VII. MAINTAINABILITY</t>
  </si>
  <si>
    <t>1. The source code is clean, well-structured, and easy to read, following standard coding guidelines and best practices.</t>
  </si>
  <si>
    <t>2. The codebase is thoroughly documented with clear comments and technical documentation, making it easy for other developers to understand and navigate.</t>
  </si>
  <si>
    <t>3. The system architecture uses modular design principles (e.g., separated components, reusable functions) that make it easy to isolate and update specific features.</t>
  </si>
  <si>
    <t>4. The code allows for seamless debugging, error logging, and troubleshooting when identifying and fixing software bugs or system issues.</t>
  </si>
  <si>
    <t>5. Future updates, modifications, or scaling of the system can be implemented with minimal effort and without breaking existing core functionalities.</t>
  </si>
  <si>
    <t>VIII. PORTABILITY</t>
  </si>
  <si>
    <t>1. The dashboard can be easily accessed from different devices (e.g., desktop PC or laptop) without losing essential functionality.</t>
  </si>
  <si>
    <t>2. The system interface adapts well to different monitor screen sizes and resolutions in various university offices.</t>
  </si>
  <si>
    <t>3. Accessing the administrative system on a new computer requires no complex installations or difficult setup procedures.</t>
  </si>
  <si>
    <t>4. The system is flexible enough to be deployed and managed for events located in different buildings or areas across the campus.</t>
  </si>
  <si>
    <t>5. Transitioning the management of the system from one administrative user environment to another is a seamless process.</t>
  </si>
  <si>
    <t>PRE-EVALUATION (MANUAL) — WEIGHTED MEAN &amp; VERBAL INTERPRETATION WORKSHEET (ISO/IEC 25010)</t>
  </si>
  <si>
    <t>1. The manual process provides a clear way to verify my identity when attending a university event.</t>
  </si>
  <si>
    <t>2. The manual process accurately and completely records my entry information.</t>
  </si>
  <si>
    <t>3. The paper-based attendance procedures are relevant to monitoring student attendance.</t>
  </si>
  <si>
    <t>4. The manual process provides clear confirmation that my attendance has been recorded (e.g., staff confirmation or completed sign-in).</t>
  </si>
  <si>
    <t>5. Overall, the manual process meets the basic requirements for recording event attendance.</t>
  </si>
  <si>
    <t>1. The manual process is completed quickly when I sign the attendance sheet.</t>
  </si>
  <si>
    <t>2. The manual process remains manageable even when there is a long line of students.</t>
  </si>
  <si>
    <t>3. The manual process maintains a consistent processing speed throughout the attendance procedure.</t>
  </si>
  <si>
    <t>4. The overall speed of the manual process meets my expectations for event attendance.</t>
  </si>
  <si>
    <t>1. The steps for paper sign-in are easy to understand and follow.</t>
  </si>
  <si>
    <t>2. The instructions provided by the event staff clearly explain what I need to do.</t>
  </si>
  <si>
    <t>3. The arrangement of the sign-in sheet, identification-checking procedure, and related materials makes the process easy to use.</t>
  </si>
  <si>
    <t>4. I can complete the paper sign-in process with minimal or no assistance.</t>
  </si>
  <si>
    <t>5. The manual process is straightforward enough to be used by students with different levels of familiarity with the procedure.</t>
  </si>
  <si>
    <t>1. My attendance is recorded consistently without being missed, duplicated, or improperly recorded.</t>
  </si>
  <si>
    <t>2. If an error occurs in the written information or identity check, it can be corrected before the record is finalized.</t>
  </si>
  <si>
    <t>3. I trust that the paper attendance sheet or manual record accurately reflects my attendance.</t>
  </si>
  <si>
    <t>4. The manual process can still be completed under different physical conditions, such as crowded queues or limited writing space.</t>
  </si>
  <si>
    <t>5. The manual verification and attendance process remains stable from the beginning to the end of the procedure.</t>
  </si>
  <si>
    <t>1. The manual process limits unnecessary exposure of my personal information on attendance sheets.</t>
  </si>
  <si>
    <t>2. Manual identity checking provides enough information to verify that the person presenting the identification is the rightful student.</t>
  </si>
  <si>
    <t>3. I feel confident that my student and attendance information is handled securely during the manual process.</t>
  </si>
  <si>
    <t>4. The manual process includes measures that help prevent common problems such as proxy attendance, or unauthorized signing.</t>
  </si>
  <si>
    <t>5. The attendance process adequately protects the confidentiality and security of event attendance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</si>
</sst>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3.0"/>
      <color rgb="FFFFFFFF"/>
      <name val="Times New Roman"/>
    </font>
    <font/>
    <font>
      <i/>
      <sz val="10.0"/>
      <color rgb="FF7F6000"/>
      <name val="Times New Roman"/>
    </font>
    <font>
      <b/>
      <sz val="10.0"/>
      <color theme="1"/>
      <name val="Times New Roman"/>
    </font>
    <font>
      <b/>
      <sz val="11.0"/>
      <color rgb="FFFFFFFF"/>
      <name val="Times New Roman"/>
    </font>
    <font>
      <i/>
      <sz val="10.0"/>
      <color rgb="FF808080"/>
      <name val="Times New Roman"/>
    </font>
    <font>
      <sz val="11.0"/>
      <color theme="1"/>
      <name val="Calibri"/>
    </font>
    <font>
      <sz val="10.0"/>
      <color rgb="FF000000"/>
      <name val="Times New Roman"/>
    </font>
    <font>
      <sz val="10.0"/>
      <color theme="1"/>
      <name val="Times New Roman"/>
    </font>
    <font>
      <color theme="1"/>
      <name val="Calibri"/>
      <scheme val="minor"/>
    </font>
    <font>
      <b/>
      <i/>
      <sz val="10.0"/>
      <color theme="1"/>
      <name val="Times New Roman"/>
    </font>
    <font>
      <b/>
      <sz val="11.0"/>
      <color rgb="FF1F3864"/>
      <name val="Times New Roman"/>
    </font>
    <font>
      <sz val="12.0"/>
      <color rgb="FF000000"/>
      <name val="'Times New Roman'"/>
    </font>
    <font>
      <i/>
      <color rgb="FF7F6000"/>
      <name val="Times New Roman"/>
    </font>
    <font>
      <b/>
      <color theme="1"/>
      <name val="Times New Roman"/>
    </font>
    <font>
      <color theme="1"/>
      <name val="Times New Roman"/>
    </font>
    <font>
      <b/>
      <i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4" numFmtId="2" xfId="0" applyAlignment="1" applyBorder="1" applyFont="1" applyNumberForma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4" fillId="7" fontId="11" numFmtId="0" xfId="0" applyAlignment="1" applyBorder="1" applyFill="1" applyFont="1">
      <alignment horizontal="right" shrinkToFit="0" vertical="center" wrapText="0"/>
    </xf>
    <xf borderId="4" fillId="7" fontId="7" numFmtId="0" xfId="0" applyAlignment="1" applyBorder="1" applyFill="1" applyFont="1">
      <alignment shrinkToFit="0" vertical="bottom" wrapText="0"/>
    </xf>
    <xf borderId="4" fillId="7" fontId="4" numFmtId="0" xfId="0" applyAlignment="1" applyBorder="1" applyFill="1" applyFont="1">
      <alignment horizontal="center" shrinkToFit="0" vertical="center" wrapText="0"/>
    </xf>
    <xf borderId="4" fillId="7" fontId="4" numFmtId="2" xfId="0" applyAlignment="1" applyBorder="1" applyFill="1" applyFont="1" applyNumberFormat="1">
      <alignment horizontal="center" shrinkToFit="0" vertical="center" wrapText="0"/>
    </xf>
    <xf borderId="4" fillId="7" fontId="4" numFmtId="0" xfId="0" applyAlignment="1" applyBorder="1" applyFill="1" applyFont="1">
      <alignment horizontal="center" shrinkToFit="0" vertical="center" wrapText="1"/>
    </xf>
    <xf borderId="0" fillId="0" fontId="10" numFmtId="2" xfId="0" applyFont="1" applyNumberFormat="1"/>
    <xf borderId="4" fillId="8" fontId="12" numFmtId="0" xfId="0" applyAlignment="1" applyBorder="1" applyFill="1" applyFont="1">
      <alignment horizontal="right" shrinkToFit="0" vertical="center" wrapText="0"/>
    </xf>
    <xf borderId="4" fillId="8" fontId="7" numFmtId="0" xfId="0" applyAlignment="1" applyBorder="1" applyFill="1" applyFont="1">
      <alignment shrinkToFit="0" vertical="bottom" wrapText="0"/>
    </xf>
    <xf borderId="4" fillId="8" fontId="12" numFmtId="0" xfId="0" applyAlignment="1" applyBorder="1" applyFill="1" applyFont="1">
      <alignment horizontal="center" shrinkToFit="0" vertical="center" wrapText="0"/>
    </xf>
    <xf borderId="4" fillId="8" fontId="12" numFmtId="2" xfId="0" applyAlignment="1" applyBorder="1" applyFill="1" applyFont="1" applyNumberFormat="1">
      <alignment horizontal="center" shrinkToFit="0" vertical="center" wrapText="0"/>
    </xf>
    <xf borderId="4" fillId="8" fontId="1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2" xfId="0" applyAlignment="1" applyFont="1" applyNumberFormat="1">
      <alignment horizontal="left" readingOrder="0" shrinkToFit="0" vertical="center" wrapText="0"/>
    </xf>
    <xf borderId="0" fillId="9" fontId="1" numFmtId="0" xfId="0" applyAlignment="1" applyFill="1" applyFont="1">
      <alignment horizontal="left" readingOrder="0" shrinkToFit="0" vertical="center" wrapText="0"/>
    </xf>
    <xf borderId="0" fillId="9" fontId="1" numFmtId="2" xfId="0" applyAlignment="1" applyFill="1" applyFont="1" applyNumberFormat="1">
      <alignment horizontal="left" readingOrder="0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8" fillId="4" fontId="4" numFmtId="0" xfId="0" applyAlignment="1" applyBorder="1" applyFill="1" applyFont="1">
      <alignment horizontal="center" shrinkToFit="0" vertical="center" wrapText="1"/>
    </xf>
    <xf borderId="4" fillId="4" fontId="4" numFmtId="2" xfId="0" applyAlignment="1" applyBorder="1" applyFill="1" applyFont="1" applyNumberFormat="1">
      <alignment horizontal="center" shrinkToFit="0" vertical="center" wrapText="1"/>
    </xf>
    <xf borderId="9" fillId="0" fontId="13" numFmtId="0" xfId="0" applyAlignment="1" applyBorder="1" applyFont="1">
      <alignment horizontal="left" readingOrder="0" shrinkToFit="0" wrapText="1"/>
    </xf>
    <xf borderId="7" fillId="6" fontId="9" numFmtId="0" xfId="0" applyAlignment="1" applyBorder="1" applyFill="1" applyFont="1">
      <alignment horizontal="center" readingOrder="0" shrinkToFit="0" vertical="center" wrapText="0"/>
    </xf>
    <xf borderId="8" fillId="10" fontId="5" numFmtId="0" xfId="0" applyAlignment="1" applyBorder="1" applyFill="1" applyFont="1">
      <alignment horizontal="left" shrinkToFit="0" vertical="center" wrapText="0"/>
    </xf>
    <xf borderId="8" fillId="10" fontId="5" numFmtId="2" xfId="0" applyAlignment="1" applyBorder="1" applyFill="1" applyFont="1" applyNumberFormat="1">
      <alignment horizontal="left" shrinkToFit="0" vertical="center" wrapText="0"/>
    </xf>
    <xf borderId="10" fillId="5" fontId="5" numFmtId="0" xfId="0" applyAlignment="1" applyBorder="1" applyFill="1" applyFont="1">
      <alignment horizontal="left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7" fontId="11" numFmtId="0" xfId="0" applyAlignment="1" applyBorder="1" applyFill="1" applyFont="1">
      <alignment horizontal="right" shrinkToFit="0" vertical="center" wrapText="0"/>
    </xf>
    <xf borderId="0" fillId="11" fontId="10" numFmtId="0" xfId="0" applyFill="1" applyFont="1"/>
    <xf borderId="0" fillId="11" fontId="10" numFmtId="2" xfId="0" applyFill="1" applyFont="1" applyNumberFormat="1"/>
    <xf borderId="14" fillId="0" fontId="5" numFmtId="0" xfId="0" applyAlignment="1" applyBorder="1" applyFont="1">
      <alignment horizontal="left" shrinkToFit="0" vertical="center" wrapText="0"/>
    </xf>
    <xf borderId="8" fillId="0" fontId="5" numFmtId="0" xfId="0" applyAlignment="1" applyBorder="1" applyFont="1">
      <alignment horizontal="left" shrinkToFit="0" vertical="center" wrapText="0"/>
    </xf>
    <xf borderId="8" fillId="0" fontId="5" numFmtId="2" xfId="0" applyAlignment="1" applyBorder="1" applyFont="1" applyNumberFormat="1">
      <alignment horizontal="left" shrinkToFit="0" vertical="center" wrapText="0"/>
    </xf>
    <xf borderId="10" fillId="5" fontId="5" numFmtId="0" xfId="0" applyAlignment="1" applyBorder="1" applyFill="1" applyFont="1">
      <alignment horizontal="left" readingOrder="0" shrinkToFit="0" vertical="center" wrapText="0"/>
    </xf>
    <xf borderId="0" fillId="12" fontId="7" numFmtId="0" xfId="0" applyAlignment="1" applyFill="1" applyFont="1">
      <alignment vertical="bottom"/>
    </xf>
    <xf borderId="0" fillId="12" fontId="7" numFmtId="2" xfId="0" applyAlignment="1" applyFill="1" applyFont="1" applyNumberFormat="1">
      <alignment vertical="bottom"/>
    </xf>
    <xf borderId="0" fillId="2" fontId="1" numFmtId="0" xfId="0" applyFill="1" applyFont="1"/>
    <xf borderId="15" fillId="3" fontId="14" numFmtId="0" xfId="0" applyAlignment="1" applyBorder="1" applyFill="1" applyFont="1">
      <alignment shrinkToFit="0" wrapText="1"/>
    </xf>
    <xf borderId="15" fillId="0" fontId="2" numFmtId="0" xfId="0" applyBorder="1" applyFont="1"/>
    <xf borderId="13" fillId="4" fontId="15" numFmtId="0" xfId="0" applyAlignment="1" applyBorder="1" applyFill="1" applyFont="1">
      <alignment horizontal="center" shrinkToFit="0" wrapText="1"/>
    </xf>
    <xf borderId="16" fillId="4" fontId="15" numFmtId="0" xfId="0" applyAlignment="1" applyBorder="1" applyFill="1" applyFont="1">
      <alignment horizontal="center" shrinkToFit="0" wrapText="1"/>
    </xf>
    <xf borderId="17" fillId="5" fontId="5" numFmtId="0" xfId="0" applyBorder="1" applyFill="1" applyFont="1"/>
    <xf borderId="16" fillId="0" fontId="2" numFmtId="0" xfId="0" applyBorder="1" applyFont="1"/>
    <xf borderId="13" fillId="0" fontId="16" numFmtId="0" xfId="0" applyAlignment="1" applyBorder="1" applyFont="1">
      <alignment shrinkToFit="0" wrapText="1"/>
    </xf>
    <xf borderId="16" fillId="6" fontId="16" numFmtId="0" xfId="0" applyAlignment="1" applyBorder="1" applyFill="1" applyFont="1">
      <alignment horizontal="center" readingOrder="0"/>
    </xf>
    <xf borderId="16" fillId="6" fontId="16" numFmtId="0" xfId="0" applyAlignment="1" applyBorder="1" applyFill="1" applyFont="1">
      <alignment horizontal="center"/>
    </xf>
    <xf borderId="16" fillId="0" fontId="16" numFmtId="0" xfId="0" applyAlignment="1" applyBorder="1" applyFont="1">
      <alignment horizontal="center"/>
    </xf>
    <xf borderId="16" fillId="0" fontId="15" numFmtId="0" xfId="0" applyAlignment="1" applyBorder="1" applyFont="1">
      <alignment horizontal="center"/>
    </xf>
    <xf borderId="16" fillId="0" fontId="15" numFmtId="2" xfId="0" applyAlignment="1" applyBorder="1" applyFont="1" applyNumberFormat="1">
      <alignment horizontal="center"/>
    </xf>
    <xf borderId="16" fillId="0" fontId="16" numFmtId="0" xfId="0" applyAlignment="1" applyBorder="1" applyFont="1">
      <alignment horizontal="center" shrinkToFit="0" wrapText="1"/>
    </xf>
    <xf borderId="13" fillId="7" fontId="17" numFmtId="0" xfId="0" applyAlignment="1" applyBorder="1" applyFill="1" applyFont="1">
      <alignment horizontal="right"/>
    </xf>
    <xf borderId="16" fillId="7" fontId="7" numFmtId="0" xfId="0" applyAlignment="1" applyBorder="1" applyFill="1" applyFont="1">
      <alignment vertical="bottom"/>
    </xf>
    <xf borderId="16" fillId="7" fontId="15" numFmtId="0" xfId="0" applyAlignment="1" applyBorder="1" applyFill="1" applyFont="1">
      <alignment horizontal="center"/>
    </xf>
    <xf borderId="16" fillId="7" fontId="15" numFmtId="2" xfId="0" applyAlignment="1" applyBorder="1" applyFill="1" applyFont="1" applyNumberFormat="1">
      <alignment horizontal="center"/>
    </xf>
    <xf borderId="16" fillId="7" fontId="15" numFmtId="0" xfId="0" applyAlignment="1" applyBorder="1" applyFill="1" applyFont="1">
      <alignment horizontal="center" shrinkToFit="0" wrapText="1"/>
    </xf>
    <xf borderId="15" fillId="0" fontId="7" numFmtId="0" xfId="0" applyAlignment="1" applyBorder="1" applyFont="1">
      <alignment vertical="bottom"/>
    </xf>
    <xf borderId="15" fillId="0" fontId="7" numFmtId="2" xfId="0" applyAlignment="1" applyBorder="1" applyFont="1" applyNumberFormat="1">
      <alignment vertical="bottom"/>
    </xf>
    <xf borderId="13" fillId="8" fontId="12" numFmtId="0" xfId="0" applyAlignment="1" applyBorder="1" applyFill="1" applyFont="1">
      <alignment horizontal="right"/>
    </xf>
    <xf borderId="16" fillId="8" fontId="7" numFmtId="0" xfId="0" applyAlignment="1" applyBorder="1" applyFill="1" applyFont="1">
      <alignment vertical="bottom"/>
    </xf>
    <xf borderId="16" fillId="8" fontId="12" numFmtId="0" xfId="0" applyAlignment="1" applyBorder="1" applyFill="1" applyFont="1">
      <alignment horizontal="center"/>
    </xf>
    <xf borderId="16" fillId="8" fontId="12" numFmtId="2" xfId="0" applyAlignment="1" applyBorder="1" applyFill="1" applyFont="1" applyNumberFormat="1">
      <alignment horizontal="center"/>
    </xf>
    <xf borderId="16" fillId="8" fontId="12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0.0"/>
    <col customWidth="1" min="2" max="4" width="12.0"/>
    <col customWidth="1" min="5" max="5" width="13.0"/>
    <col customWidth="1" min="6" max="6" width="11.0"/>
    <col customWidth="1" min="7" max="7" width="12.0"/>
    <col customWidth="1" min="8" max="9" width="13.0"/>
    <col customWidth="1" min="10" max="10" width="32.0"/>
    <col customWidth="1" min="11" max="27" width="8.71"/>
  </cols>
  <sheetData>
    <row r="1" ht="21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6</v>
      </c>
      <c r="B2" s="2"/>
      <c r="C2" s="2"/>
      <c r="D2" s="2"/>
      <c r="E2" s="2"/>
      <c r="F2" s="2"/>
      <c r="G2" s="2"/>
      <c r="H2" s="2"/>
      <c r="I2" s="2"/>
      <c r="J2" s="3"/>
    </row>
    <row r="3" ht="30.0" customHeight="1">
      <c r="A3" s="5" t="s">
        <v>5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18</v>
      </c>
      <c r="J3" s="5" t="s">
        <v>14</v>
      </c>
    </row>
    <row r="4" ht="19.5" customHeight="1">
      <c r="A4" s="6" t="s">
        <v>15</v>
      </c>
      <c r="B4" s="7"/>
      <c r="C4" s="7"/>
      <c r="D4" s="7"/>
      <c r="E4" s="7"/>
      <c r="F4" s="7"/>
      <c r="G4" s="7"/>
      <c r="H4" s="7"/>
      <c r="I4" s="7"/>
      <c r="J4" s="8"/>
    </row>
    <row r="5" ht="33.75" customHeight="1">
      <c r="A5" s="12" t="s">
        <v>21</v>
      </c>
      <c r="B5" s="13">
        <v>56</v>
      </c>
      <c r="C5" s="13">
        <v>13</v>
      </c>
      <c r="D5" s="13">
        <v>1</v>
      </c>
      <c r="E5" s="13">
        <v>0</v>
      </c>
      <c r="F5" s="14">
        <f t="shared" ref="F5:F9" si="1">SUM(B5:E5)</f>
        <v>70</v>
      </c>
      <c r="G5" s="14">
        <f t="shared" ref="G5:G9" si="2">4*B5+3*C5+2*D5+1*E5</f>
        <v>265</v>
      </c>
      <c r="H5" s="15">
        <f t="shared" ref="H5:H9" si="3">IF(F5=0,"",ROUND(G5/F5,2))</f>
        <v>3.79</v>
      </c>
      <c r="I5" s="16">
        <f t="shared" ref="I5:I9" si="4">IFERROR(IF(F5&lt;=1,"",ROUND(SQRT((B5*(4-H5)^2+C5*(3-H5)^2+D5*(2-H5)^2+E5*(1-H5)^2)/(F5-1)),2)),"")</f>
        <v>0.45</v>
      </c>
      <c r="J5" s="17" t="str">
        <f t="shared" ref="J5:J10" si="5">IF(H5="","",IF(H5&gt;=3.26,"Strongly Agree / Highly Satisfactory",IF(H5&gt;=2.51,"Agree / Satisfactory",IF(H5&gt;=1.76,"Disagree / Unsatisfactory","Strongly Disagree / Highly Unsatisfactory"))))</f>
        <v>Strongly Agree / Highly Satisfactory</v>
      </c>
    </row>
    <row r="6" ht="33.75" customHeight="1">
      <c r="A6" s="12" t="s">
        <v>24</v>
      </c>
      <c r="B6" s="13">
        <v>60</v>
      </c>
      <c r="C6" s="13">
        <v>10</v>
      </c>
      <c r="D6" s="13">
        <v>0</v>
      </c>
      <c r="E6" s="13">
        <v>0</v>
      </c>
      <c r="F6" s="14">
        <f t="shared" si="1"/>
        <v>70</v>
      </c>
      <c r="G6" s="14">
        <f t="shared" si="2"/>
        <v>270</v>
      </c>
      <c r="H6" s="15">
        <f t="shared" si="3"/>
        <v>3.86</v>
      </c>
      <c r="I6" s="16">
        <f t="shared" si="4"/>
        <v>0.35</v>
      </c>
      <c r="J6" s="17" t="str">
        <f t="shared" si="5"/>
        <v>Strongly Agree / Highly Satisfactory</v>
      </c>
    </row>
    <row r="7" ht="33.75" customHeight="1">
      <c r="A7" s="12" t="s">
        <v>25</v>
      </c>
      <c r="B7" s="13">
        <v>54</v>
      </c>
      <c r="C7" s="13">
        <v>13</v>
      </c>
      <c r="D7" s="13">
        <v>3</v>
      </c>
      <c r="E7" s="13">
        <v>0</v>
      </c>
      <c r="F7" s="14">
        <f t="shared" si="1"/>
        <v>70</v>
      </c>
      <c r="G7" s="14">
        <f t="shared" si="2"/>
        <v>261</v>
      </c>
      <c r="H7" s="15">
        <f t="shared" si="3"/>
        <v>3.73</v>
      </c>
      <c r="I7" s="16">
        <f t="shared" si="4"/>
        <v>0.54</v>
      </c>
      <c r="J7" s="17" t="str">
        <f t="shared" si="5"/>
        <v>Strongly Agree / Highly Satisfactory</v>
      </c>
    </row>
    <row r="8" ht="33.75" customHeight="1">
      <c r="A8" s="12" t="s">
        <v>26</v>
      </c>
      <c r="B8" s="13">
        <v>51</v>
      </c>
      <c r="C8" s="13">
        <v>18</v>
      </c>
      <c r="D8" s="13">
        <v>1</v>
      </c>
      <c r="E8" s="13">
        <v>0</v>
      </c>
      <c r="F8" s="14">
        <f t="shared" si="1"/>
        <v>70</v>
      </c>
      <c r="G8" s="14">
        <f t="shared" si="2"/>
        <v>260</v>
      </c>
      <c r="H8" s="15">
        <f t="shared" si="3"/>
        <v>3.71</v>
      </c>
      <c r="I8" s="16">
        <f t="shared" si="4"/>
        <v>0.49</v>
      </c>
      <c r="J8" s="17" t="str">
        <f t="shared" si="5"/>
        <v>Strongly Agree / Highly Satisfactory</v>
      </c>
      <c r="L8" s="18" t="s">
        <v>27</v>
      </c>
    </row>
    <row r="9" ht="33.75" customHeight="1">
      <c r="A9" s="12" t="s">
        <v>28</v>
      </c>
      <c r="B9" s="13">
        <v>54</v>
      </c>
      <c r="C9" s="13">
        <v>13</v>
      </c>
      <c r="D9" s="13">
        <v>3</v>
      </c>
      <c r="E9" s="13">
        <v>0</v>
      </c>
      <c r="F9" s="14">
        <f t="shared" si="1"/>
        <v>70</v>
      </c>
      <c r="G9" s="14">
        <f t="shared" si="2"/>
        <v>261</v>
      </c>
      <c r="H9" s="15">
        <f t="shared" si="3"/>
        <v>3.73</v>
      </c>
      <c r="I9" s="16">
        <f t="shared" si="4"/>
        <v>0.54</v>
      </c>
      <c r="J9" s="17" t="str">
        <f t="shared" si="5"/>
        <v>Strongly Agree / Highly Satisfactory</v>
      </c>
    </row>
    <row r="10" ht="18.0" customHeight="1">
      <c r="A10" s="19" t="s">
        <v>29</v>
      </c>
      <c r="B10" s="20"/>
      <c r="C10" s="20"/>
      <c r="D10" s="20"/>
      <c r="E10" s="20"/>
      <c r="F10" s="20"/>
      <c r="G10" s="20"/>
      <c r="H10" s="21">
        <f t="shared" ref="H10:I10" si="6">IFERROR(ROUND(AVERAGE(H5:H9),2),"")</f>
        <v>3.76</v>
      </c>
      <c r="I10" s="22">
        <f t="shared" si="6"/>
        <v>0.47</v>
      </c>
      <c r="J10" s="23" t="str">
        <f t="shared" si="5"/>
        <v>Strongly Agree / Highly Satisfactory</v>
      </c>
    </row>
    <row r="11">
      <c r="I11" s="24"/>
    </row>
    <row r="12" ht="19.5" customHeight="1">
      <c r="A12" s="6" t="s">
        <v>17</v>
      </c>
      <c r="B12" s="7"/>
      <c r="C12" s="7"/>
      <c r="D12" s="7"/>
      <c r="E12" s="7"/>
      <c r="F12" s="7"/>
      <c r="G12" s="7"/>
      <c r="H12" s="7"/>
      <c r="I12" s="7"/>
      <c r="J12" s="8"/>
    </row>
    <row r="13" ht="33.75" customHeight="1">
      <c r="A13" s="12" t="s">
        <v>30</v>
      </c>
      <c r="B13" s="13">
        <v>54</v>
      </c>
      <c r="C13" s="13">
        <v>16</v>
      </c>
      <c r="D13" s="13">
        <v>0</v>
      </c>
      <c r="E13" s="13">
        <v>0</v>
      </c>
      <c r="F13" s="14">
        <f t="shared" ref="F13:F16" si="7">SUM(B13:E13)</f>
        <v>70</v>
      </c>
      <c r="G13" s="14">
        <f t="shared" ref="G13:G16" si="8">4*B13+3*C13+2*D13+1*E13</f>
        <v>264</v>
      </c>
      <c r="H13" s="15">
        <f t="shared" ref="H13:H16" si="9">IF(F13=0,"",ROUND(G13/F13,2))</f>
        <v>3.77</v>
      </c>
      <c r="I13" s="16">
        <f t="shared" ref="I13:I16" si="10">IFERROR(IF(F13&lt;=1,"",ROUND(SQRT((B13*(4-H13)^2+C13*(3-H13)^2+D13*(2-H13)^2+E13*(1-H13)^2)/(F13-1)),2)),"")</f>
        <v>0.42</v>
      </c>
      <c r="J13" s="17" t="str">
        <f t="shared" ref="J13:J17" si="11">IF(H13="","",IF(H13&gt;=3.26,"Strongly Agree / Highly Satisfactory",IF(H13&gt;=2.51,"Agree / Satisfactory",IF(H13&gt;=1.76,"Disagree / Unsatisfactory","Strongly Disagree / Highly Unsatisfactory"))))</f>
        <v>Strongly Agree / Highly Satisfactory</v>
      </c>
    </row>
    <row r="14" ht="33.75" customHeight="1">
      <c r="A14" s="12" t="s">
        <v>31</v>
      </c>
      <c r="B14" s="13">
        <v>50</v>
      </c>
      <c r="C14" s="13">
        <v>19</v>
      </c>
      <c r="D14" s="13">
        <v>1</v>
      </c>
      <c r="E14" s="13">
        <v>0</v>
      </c>
      <c r="F14" s="14">
        <f t="shared" si="7"/>
        <v>70</v>
      </c>
      <c r="G14" s="14">
        <f t="shared" si="8"/>
        <v>259</v>
      </c>
      <c r="H14" s="15">
        <f t="shared" si="9"/>
        <v>3.7</v>
      </c>
      <c r="I14" s="16">
        <f t="shared" si="10"/>
        <v>0.49</v>
      </c>
      <c r="J14" s="17" t="str">
        <f t="shared" si="11"/>
        <v>Strongly Agree / Highly Satisfactory</v>
      </c>
    </row>
    <row r="15" ht="33.75" customHeight="1">
      <c r="A15" s="12" t="s">
        <v>32</v>
      </c>
      <c r="B15" s="13">
        <v>52</v>
      </c>
      <c r="C15" s="13">
        <v>18</v>
      </c>
      <c r="D15" s="13">
        <v>0</v>
      </c>
      <c r="E15" s="13">
        <v>0</v>
      </c>
      <c r="F15" s="14">
        <f t="shared" si="7"/>
        <v>70</v>
      </c>
      <c r="G15" s="14">
        <f t="shared" si="8"/>
        <v>262</v>
      </c>
      <c r="H15" s="15">
        <f t="shared" si="9"/>
        <v>3.74</v>
      </c>
      <c r="I15" s="16">
        <f t="shared" si="10"/>
        <v>0.44</v>
      </c>
      <c r="J15" s="17" t="str">
        <f t="shared" si="11"/>
        <v>Strongly Agree / Highly Satisfactory</v>
      </c>
    </row>
    <row r="16" ht="33.75" customHeight="1">
      <c r="A16" s="12" t="s">
        <v>33</v>
      </c>
      <c r="B16" s="13">
        <v>55</v>
      </c>
      <c r="C16" s="13">
        <v>13</v>
      </c>
      <c r="D16" s="13">
        <v>2</v>
      </c>
      <c r="E16" s="13">
        <v>0</v>
      </c>
      <c r="F16" s="14">
        <f t="shared" si="7"/>
        <v>70</v>
      </c>
      <c r="G16" s="14">
        <f t="shared" si="8"/>
        <v>263</v>
      </c>
      <c r="H16" s="15">
        <f t="shared" si="9"/>
        <v>3.76</v>
      </c>
      <c r="I16" s="16">
        <f t="shared" si="10"/>
        <v>0.49</v>
      </c>
      <c r="J16" s="17" t="str">
        <f t="shared" si="11"/>
        <v>Strongly Agree / Highly Satisfactory</v>
      </c>
    </row>
    <row r="17" ht="18.0" customHeight="1">
      <c r="A17" s="19" t="s">
        <v>29</v>
      </c>
      <c r="B17" s="20"/>
      <c r="C17" s="20"/>
      <c r="D17" s="20"/>
      <c r="E17" s="20"/>
      <c r="F17" s="20"/>
      <c r="G17" s="20"/>
      <c r="H17" s="21">
        <f t="shared" ref="H17:I17" si="12">IFERROR(ROUND(AVERAGE(H13:H16),2),"")</f>
        <v>3.74</v>
      </c>
      <c r="I17" s="22">
        <f t="shared" si="12"/>
        <v>0.46</v>
      </c>
      <c r="J17" s="23" t="str">
        <f t="shared" si="11"/>
        <v>Strongly Agree / Highly Satisfactory</v>
      </c>
    </row>
    <row r="18">
      <c r="I18" s="24"/>
    </row>
    <row r="19" ht="19.5" customHeight="1">
      <c r="A19" s="6" t="s">
        <v>20</v>
      </c>
      <c r="B19" s="7"/>
      <c r="C19" s="7"/>
      <c r="D19" s="7"/>
      <c r="E19" s="7"/>
      <c r="F19" s="7"/>
      <c r="G19" s="7"/>
      <c r="H19" s="7"/>
      <c r="I19" s="7"/>
      <c r="J19" s="8"/>
    </row>
    <row r="20" ht="33.75" customHeight="1">
      <c r="A20" s="12" t="s">
        <v>34</v>
      </c>
      <c r="B20" s="13">
        <v>54</v>
      </c>
      <c r="C20" s="13">
        <v>16</v>
      </c>
      <c r="D20" s="13">
        <v>0</v>
      </c>
      <c r="E20" s="13">
        <v>0</v>
      </c>
      <c r="F20" s="14">
        <f t="shared" ref="F20:F24" si="13">SUM(B20:E20)</f>
        <v>70</v>
      </c>
      <c r="G20" s="14">
        <f t="shared" ref="G20:G24" si="14">4*B20+3*C20+2*D20+1*E20</f>
        <v>264</v>
      </c>
      <c r="H20" s="15">
        <f t="shared" ref="H20:H24" si="15">IF(F20=0,"",ROUND(G20/F20,2))</f>
        <v>3.77</v>
      </c>
      <c r="I20" s="16">
        <f t="shared" ref="I20:I24" si="16">IFERROR(IF(F20&lt;=1,"",ROUND(SQRT((B20*(4-H20)^2+C20*(3-H20)^2+D20*(2-H20)^2+E20*(1-H20)^2)/(F20-1)),2)),"")</f>
        <v>0.42</v>
      </c>
      <c r="J20" s="17" t="str">
        <f t="shared" ref="J20:J25" si="17">IF(H20="","",IF(H20&gt;=3.26,"Strongly Agree / Highly Satisfactory",IF(H20&gt;=2.51,"Agree / Satisfactory",IF(H20&gt;=1.76,"Disagree / Unsatisfactory","Strongly Disagree / Highly Unsatisfactory"))))</f>
        <v>Strongly Agree / Highly Satisfactory</v>
      </c>
    </row>
    <row r="21" ht="33.75" customHeight="1">
      <c r="A21" s="12" t="s">
        <v>35</v>
      </c>
      <c r="B21" s="13">
        <v>51</v>
      </c>
      <c r="C21" s="13">
        <v>18</v>
      </c>
      <c r="D21" s="13">
        <v>1</v>
      </c>
      <c r="E21" s="13">
        <v>0</v>
      </c>
      <c r="F21" s="14">
        <f t="shared" si="13"/>
        <v>70</v>
      </c>
      <c r="G21" s="14">
        <f t="shared" si="14"/>
        <v>260</v>
      </c>
      <c r="H21" s="15">
        <f t="shared" si="15"/>
        <v>3.71</v>
      </c>
      <c r="I21" s="16">
        <f t="shared" si="16"/>
        <v>0.49</v>
      </c>
      <c r="J21" s="17" t="str">
        <f t="shared" si="17"/>
        <v>Strongly Agree / Highly Satisfactory</v>
      </c>
    </row>
    <row r="22" ht="33.75" customHeight="1">
      <c r="A22" s="12" t="s">
        <v>36</v>
      </c>
      <c r="B22" s="13">
        <v>53</v>
      </c>
      <c r="C22" s="13">
        <v>17</v>
      </c>
      <c r="D22" s="13">
        <v>0</v>
      </c>
      <c r="E22" s="13">
        <v>0</v>
      </c>
      <c r="F22" s="14">
        <f t="shared" si="13"/>
        <v>70</v>
      </c>
      <c r="G22" s="14">
        <f t="shared" si="14"/>
        <v>263</v>
      </c>
      <c r="H22" s="15">
        <f t="shared" si="15"/>
        <v>3.76</v>
      </c>
      <c r="I22" s="16">
        <f t="shared" si="16"/>
        <v>0.43</v>
      </c>
      <c r="J22" s="17" t="str">
        <f t="shared" si="17"/>
        <v>Strongly Agree / Highly Satisfactory</v>
      </c>
    </row>
    <row r="23" ht="33.75" customHeight="1">
      <c r="A23" s="12" t="s">
        <v>37</v>
      </c>
      <c r="B23" s="13">
        <v>52</v>
      </c>
      <c r="C23" s="13">
        <v>15</v>
      </c>
      <c r="D23" s="13">
        <v>3</v>
      </c>
      <c r="E23" s="13">
        <v>0</v>
      </c>
      <c r="F23" s="14">
        <f t="shared" si="13"/>
        <v>70</v>
      </c>
      <c r="G23" s="14">
        <f t="shared" si="14"/>
        <v>259</v>
      </c>
      <c r="H23" s="15">
        <f t="shared" si="15"/>
        <v>3.7</v>
      </c>
      <c r="I23" s="16">
        <f t="shared" si="16"/>
        <v>0.55</v>
      </c>
      <c r="J23" s="17" t="str">
        <f t="shared" si="17"/>
        <v>Strongly Agree / Highly Satisfactory</v>
      </c>
    </row>
    <row r="24" ht="33.75" customHeight="1">
      <c r="A24" s="12" t="s">
        <v>38</v>
      </c>
      <c r="B24" s="13">
        <v>56</v>
      </c>
      <c r="C24" s="13">
        <v>11</v>
      </c>
      <c r="D24" s="13">
        <v>3</v>
      </c>
      <c r="E24" s="13">
        <v>0</v>
      </c>
      <c r="F24" s="14">
        <f t="shared" si="13"/>
        <v>70</v>
      </c>
      <c r="G24" s="14">
        <f t="shared" si="14"/>
        <v>263</v>
      </c>
      <c r="H24" s="15">
        <f t="shared" si="15"/>
        <v>3.76</v>
      </c>
      <c r="I24" s="16">
        <f t="shared" si="16"/>
        <v>0.52</v>
      </c>
      <c r="J24" s="17" t="str">
        <f t="shared" si="17"/>
        <v>Strongly Agree / Highly Satisfactory</v>
      </c>
    </row>
    <row r="25" ht="18.0" customHeight="1">
      <c r="A25" s="19" t="s">
        <v>29</v>
      </c>
      <c r="B25" s="20"/>
      <c r="C25" s="20"/>
      <c r="D25" s="20"/>
      <c r="E25" s="20"/>
      <c r="F25" s="20"/>
      <c r="G25" s="20"/>
      <c r="H25" s="21">
        <f t="shared" ref="H25:I25" si="18">IFERROR(ROUND(AVERAGE(H20:H24),2),"")</f>
        <v>3.74</v>
      </c>
      <c r="I25" s="22">
        <f t="shared" si="18"/>
        <v>0.48</v>
      </c>
      <c r="J25" s="23" t="str">
        <f t="shared" si="17"/>
        <v>Strongly Agree / Highly Satisfactory</v>
      </c>
    </row>
    <row r="26" ht="15.75" customHeight="1">
      <c r="I26" s="24"/>
    </row>
    <row r="27" ht="19.5" customHeight="1">
      <c r="A27" s="6" t="s">
        <v>22</v>
      </c>
      <c r="B27" s="7"/>
      <c r="C27" s="7"/>
      <c r="D27" s="7"/>
      <c r="E27" s="7"/>
      <c r="F27" s="7"/>
      <c r="G27" s="7"/>
      <c r="H27" s="7"/>
      <c r="I27" s="7"/>
      <c r="J27" s="8"/>
    </row>
    <row r="28" ht="33.75" customHeight="1">
      <c r="A28" s="12" t="s">
        <v>39</v>
      </c>
      <c r="B28" s="13">
        <v>42</v>
      </c>
      <c r="C28" s="13">
        <v>28</v>
      </c>
      <c r="D28" s="13">
        <v>0</v>
      </c>
      <c r="E28" s="13">
        <v>0</v>
      </c>
      <c r="F28" s="14">
        <f t="shared" ref="F28:F32" si="19">SUM(B28:E28)</f>
        <v>70</v>
      </c>
      <c r="G28" s="14">
        <f t="shared" ref="G28:G32" si="20">4*B28+3*C28+2*D28+1*E28</f>
        <v>252</v>
      </c>
      <c r="H28" s="15">
        <f t="shared" ref="H28:H32" si="21">IF(F28=0,"",ROUND(G28/F28,2))</f>
        <v>3.6</v>
      </c>
      <c r="I28" s="16">
        <f t="shared" ref="I28:I32" si="22">IFERROR(IF(F28&lt;=1,"",ROUND(SQRT((B28*(4-H28)^2+C28*(3-H28)^2+D28*(2-H28)^2+E28*(1-H28)^2)/(F28-1)),2)),"")</f>
        <v>0.49</v>
      </c>
      <c r="J28" s="17" t="str">
        <f t="shared" ref="J28:J33" si="23">IF(H28="","",IF(H28&gt;=3.26,"Strongly Agree / Highly Satisfactory",IF(H28&gt;=2.51,"Agree / Satisfactory",IF(H28&gt;=1.76,"Disagree / Unsatisfactory","Strongly Disagree / Highly Unsatisfactory"))))</f>
        <v>Strongly Agree / Highly Satisfactory</v>
      </c>
    </row>
    <row r="29" ht="33.75" customHeight="1">
      <c r="A29" s="12" t="s">
        <v>40</v>
      </c>
      <c r="B29" s="13">
        <v>53</v>
      </c>
      <c r="C29" s="13">
        <v>17</v>
      </c>
      <c r="D29" s="13">
        <v>0</v>
      </c>
      <c r="E29" s="13">
        <v>0</v>
      </c>
      <c r="F29" s="14">
        <f t="shared" si="19"/>
        <v>70</v>
      </c>
      <c r="G29" s="14">
        <f t="shared" si="20"/>
        <v>263</v>
      </c>
      <c r="H29" s="15">
        <f t="shared" si="21"/>
        <v>3.76</v>
      </c>
      <c r="I29" s="16">
        <f t="shared" si="22"/>
        <v>0.43</v>
      </c>
      <c r="J29" s="17" t="str">
        <f t="shared" si="23"/>
        <v>Strongly Agree / Highly Satisfactory</v>
      </c>
    </row>
    <row r="30" ht="33.75" customHeight="1">
      <c r="A30" s="12" t="s">
        <v>41</v>
      </c>
      <c r="B30" s="13">
        <v>46</v>
      </c>
      <c r="C30" s="13">
        <v>24</v>
      </c>
      <c r="D30" s="13">
        <v>0</v>
      </c>
      <c r="E30" s="13">
        <v>0</v>
      </c>
      <c r="F30" s="14">
        <f t="shared" si="19"/>
        <v>70</v>
      </c>
      <c r="G30" s="14">
        <f t="shared" si="20"/>
        <v>256</v>
      </c>
      <c r="H30" s="15">
        <f t="shared" si="21"/>
        <v>3.66</v>
      </c>
      <c r="I30" s="16">
        <f t="shared" si="22"/>
        <v>0.48</v>
      </c>
      <c r="J30" s="17" t="str">
        <f t="shared" si="23"/>
        <v>Strongly Agree / Highly Satisfactory</v>
      </c>
    </row>
    <row r="31" ht="33.75" customHeight="1">
      <c r="A31" s="12" t="s">
        <v>42</v>
      </c>
      <c r="B31" s="13">
        <v>56</v>
      </c>
      <c r="C31" s="13">
        <v>12</v>
      </c>
      <c r="D31" s="13">
        <v>2</v>
      </c>
      <c r="E31" s="13">
        <v>0</v>
      </c>
      <c r="F31" s="14">
        <f t="shared" si="19"/>
        <v>70</v>
      </c>
      <c r="G31" s="14">
        <f t="shared" si="20"/>
        <v>264</v>
      </c>
      <c r="H31" s="15">
        <f t="shared" si="21"/>
        <v>3.77</v>
      </c>
      <c r="I31" s="16">
        <f t="shared" si="22"/>
        <v>0.49</v>
      </c>
      <c r="J31" s="17" t="str">
        <f t="shared" si="23"/>
        <v>Strongly Agree / Highly Satisfactory</v>
      </c>
    </row>
    <row r="32" ht="33.75" customHeight="1">
      <c r="A32" s="12" t="s">
        <v>43</v>
      </c>
      <c r="B32" s="13">
        <v>54</v>
      </c>
      <c r="C32" s="13">
        <v>16</v>
      </c>
      <c r="D32" s="13">
        <v>0</v>
      </c>
      <c r="E32" s="13">
        <v>0</v>
      </c>
      <c r="F32" s="14">
        <f t="shared" si="19"/>
        <v>70</v>
      </c>
      <c r="G32" s="14">
        <f t="shared" si="20"/>
        <v>264</v>
      </c>
      <c r="H32" s="15">
        <f t="shared" si="21"/>
        <v>3.77</v>
      </c>
      <c r="I32" s="16">
        <f t="shared" si="22"/>
        <v>0.42</v>
      </c>
      <c r="J32" s="17" t="str">
        <f t="shared" si="23"/>
        <v>Strongly Agree / Highly Satisfactory</v>
      </c>
    </row>
    <row r="33" ht="18.0" customHeight="1">
      <c r="A33" s="19" t="s">
        <v>29</v>
      </c>
      <c r="B33" s="20"/>
      <c r="C33" s="20"/>
      <c r="D33" s="20"/>
      <c r="E33" s="20"/>
      <c r="F33" s="20"/>
      <c r="G33" s="20"/>
      <c r="H33" s="21">
        <f t="shared" ref="H33:I33" si="24">IFERROR(ROUND(AVERAGE(H28:H32),2),"")</f>
        <v>3.71</v>
      </c>
      <c r="I33" s="22">
        <f t="shared" si="24"/>
        <v>0.46</v>
      </c>
      <c r="J33" s="23" t="str">
        <f t="shared" si="23"/>
        <v>Strongly Agree / Highly Satisfactory</v>
      </c>
    </row>
    <row r="34" ht="15.75" customHeight="1">
      <c r="I34" s="24"/>
    </row>
    <row r="35" ht="19.5" customHeight="1">
      <c r="A35" s="6" t="s">
        <v>23</v>
      </c>
      <c r="B35" s="7"/>
      <c r="C35" s="7"/>
      <c r="D35" s="7"/>
      <c r="E35" s="7"/>
      <c r="F35" s="7"/>
      <c r="G35" s="7"/>
      <c r="H35" s="7"/>
      <c r="I35" s="7"/>
      <c r="J35" s="8"/>
    </row>
    <row r="36" ht="33.75" customHeight="1">
      <c r="A36" s="12" t="s">
        <v>44</v>
      </c>
      <c r="B36" s="13">
        <v>50</v>
      </c>
      <c r="C36" s="13">
        <v>19</v>
      </c>
      <c r="D36" s="13">
        <v>1</v>
      </c>
      <c r="E36" s="13">
        <v>0</v>
      </c>
      <c r="F36" s="14">
        <f t="shared" ref="F36:F40" si="25">SUM(B36:E36)</f>
        <v>70</v>
      </c>
      <c r="G36" s="14">
        <f t="shared" ref="G36:G40" si="26">4*B36+3*C36+2*D36+1*E36</f>
        <v>259</v>
      </c>
      <c r="H36" s="15">
        <f t="shared" ref="H36:H40" si="27">IF(F36=0,"",ROUND(G36/F36,2))</f>
        <v>3.7</v>
      </c>
      <c r="I36" s="16">
        <f t="shared" ref="I36:I40" si="28">IFERROR(IF(F36&lt;=1,"",ROUND(SQRT((B36*(4-H36)^2+C36*(3-H36)^2+D36*(2-H36)^2+E36*(1-H36)^2)/(F36-1)),2)),"")</f>
        <v>0.49</v>
      </c>
      <c r="J36" s="17" t="str">
        <f t="shared" ref="J36:J41" si="29">IF(H36="","",IF(H36&gt;=3.26,"Strongly Agree / Highly Satisfactory",IF(H36&gt;=2.51,"Agree / Satisfactory",IF(H36&gt;=1.76,"Disagree / Unsatisfactory","Strongly Disagree / Highly Unsatisfactory"))))</f>
        <v>Strongly Agree / Highly Satisfactory</v>
      </c>
    </row>
    <row r="37" ht="33.75" customHeight="1">
      <c r="A37" s="12" t="s">
        <v>45</v>
      </c>
      <c r="B37" s="13">
        <v>59</v>
      </c>
      <c r="C37" s="13">
        <v>11</v>
      </c>
      <c r="D37" s="13">
        <v>0</v>
      </c>
      <c r="E37" s="13">
        <v>0</v>
      </c>
      <c r="F37" s="14">
        <f t="shared" si="25"/>
        <v>70</v>
      </c>
      <c r="G37" s="14">
        <f t="shared" si="26"/>
        <v>269</v>
      </c>
      <c r="H37" s="15">
        <f t="shared" si="27"/>
        <v>3.84</v>
      </c>
      <c r="I37" s="16">
        <f t="shared" si="28"/>
        <v>0.37</v>
      </c>
      <c r="J37" s="17" t="str">
        <f t="shared" si="29"/>
        <v>Strongly Agree / Highly Satisfactory</v>
      </c>
    </row>
    <row r="38" ht="33.75" customHeight="1">
      <c r="A38" s="12" t="s">
        <v>46</v>
      </c>
      <c r="B38" s="13">
        <v>52</v>
      </c>
      <c r="C38" s="13">
        <v>18</v>
      </c>
      <c r="D38" s="13">
        <v>0</v>
      </c>
      <c r="E38" s="13">
        <v>0</v>
      </c>
      <c r="F38" s="14">
        <f t="shared" si="25"/>
        <v>70</v>
      </c>
      <c r="G38" s="14">
        <f t="shared" si="26"/>
        <v>262</v>
      </c>
      <c r="H38" s="15">
        <f t="shared" si="27"/>
        <v>3.74</v>
      </c>
      <c r="I38" s="16">
        <f t="shared" si="28"/>
        <v>0.44</v>
      </c>
      <c r="J38" s="17" t="str">
        <f t="shared" si="29"/>
        <v>Strongly Agree / Highly Satisfactory</v>
      </c>
    </row>
    <row r="39" ht="33.75" customHeight="1">
      <c r="A39" s="12" t="s">
        <v>47</v>
      </c>
      <c r="B39" s="13">
        <v>51</v>
      </c>
      <c r="C39" s="13">
        <v>17</v>
      </c>
      <c r="D39" s="13">
        <v>1</v>
      </c>
      <c r="E39" s="13">
        <v>1</v>
      </c>
      <c r="F39" s="14">
        <f t="shared" si="25"/>
        <v>70</v>
      </c>
      <c r="G39" s="14">
        <f t="shared" si="26"/>
        <v>258</v>
      </c>
      <c r="H39" s="15">
        <f t="shared" si="27"/>
        <v>3.69</v>
      </c>
      <c r="I39" s="16">
        <f t="shared" si="28"/>
        <v>0.58</v>
      </c>
      <c r="J39" s="17" t="str">
        <f t="shared" si="29"/>
        <v>Strongly Agree / Highly Satisfactory</v>
      </c>
    </row>
    <row r="40" ht="33.75" customHeight="1">
      <c r="A40" s="12" t="s">
        <v>48</v>
      </c>
      <c r="B40" s="13">
        <v>55</v>
      </c>
      <c r="C40" s="13">
        <v>15</v>
      </c>
      <c r="D40" s="13">
        <v>0</v>
      </c>
      <c r="E40" s="13">
        <v>0</v>
      </c>
      <c r="F40" s="14">
        <f t="shared" si="25"/>
        <v>70</v>
      </c>
      <c r="G40" s="14">
        <f t="shared" si="26"/>
        <v>265</v>
      </c>
      <c r="H40" s="15">
        <f t="shared" si="27"/>
        <v>3.79</v>
      </c>
      <c r="I40" s="16">
        <f t="shared" si="28"/>
        <v>0.41</v>
      </c>
      <c r="J40" s="17" t="str">
        <f t="shared" si="29"/>
        <v>Strongly Agree / Highly Satisfactory</v>
      </c>
    </row>
    <row r="41" ht="18.0" customHeight="1">
      <c r="A41" s="19" t="s">
        <v>29</v>
      </c>
      <c r="B41" s="20"/>
      <c r="C41" s="20"/>
      <c r="D41" s="20"/>
      <c r="E41" s="20"/>
      <c r="F41" s="20"/>
      <c r="G41" s="20"/>
      <c r="H41" s="21">
        <f t="shared" ref="H41:I41" si="30">IFERROR(ROUND(AVERAGE(H36:H40),2),"")</f>
        <v>3.75</v>
      </c>
      <c r="I41" s="22">
        <f t="shared" si="30"/>
        <v>0.46</v>
      </c>
      <c r="J41" s="23" t="str">
        <f t="shared" si="29"/>
        <v>Strongly Agree / Highly Satisfactory</v>
      </c>
    </row>
    <row r="42" ht="15.75" customHeight="1">
      <c r="I42" s="24"/>
    </row>
    <row r="43" ht="19.5" customHeight="1">
      <c r="A43" s="25" t="s">
        <v>49</v>
      </c>
      <c r="B43" s="26"/>
      <c r="C43" s="26"/>
      <c r="D43" s="26"/>
      <c r="E43" s="26"/>
      <c r="F43" s="26"/>
      <c r="G43" s="26"/>
      <c r="H43" s="27">
        <f t="shared" ref="H43:I43" si="31">IFERROR(ROUND(AVERAGE(H10,H17,H25,H33,H41),2),"")</f>
        <v>3.74</v>
      </c>
      <c r="I43" s="28">
        <f t="shared" si="31"/>
        <v>0.47</v>
      </c>
      <c r="J43" s="29" t="str">
        <f>IF(H43="","",IF(H43&gt;=3.26,"Strongly Agree / Highly Satisfactory",IF(H43&gt;=2.51,"Agree / Satisfactory",IF(H43&gt;=1.76,"Disagree / Unsatisfactory","Strongly Disagree / Highly Unsatisfactory"))))</f>
        <v>Strongly Agree / Highly Satisfactory</v>
      </c>
    </row>
    <row r="44" ht="15.75" customHeight="1">
      <c r="I44" s="24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1"/>
      <c r="J45" s="30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3"/>
      <c r="J46" s="32"/>
    </row>
    <row r="47" ht="15.75" customHeight="1">
      <c r="A47" s="34" t="s">
        <v>1</v>
      </c>
      <c r="B47" s="2"/>
      <c r="C47" s="2"/>
      <c r="D47" s="2"/>
      <c r="E47" s="2"/>
      <c r="F47" s="2"/>
      <c r="G47" s="2"/>
      <c r="H47" s="2"/>
      <c r="I47" s="2"/>
      <c r="J47" s="3"/>
    </row>
    <row r="48" ht="15.75" customHeight="1">
      <c r="A48" s="4" t="s">
        <v>6</v>
      </c>
      <c r="B48" s="2"/>
      <c r="C48" s="2"/>
      <c r="D48" s="2"/>
      <c r="E48" s="2"/>
      <c r="F48" s="2"/>
      <c r="G48" s="2"/>
      <c r="H48" s="2"/>
      <c r="I48" s="2"/>
      <c r="J48" s="3"/>
    </row>
    <row r="49" ht="15.75" customHeight="1">
      <c r="A49" s="35" t="s">
        <v>5</v>
      </c>
      <c r="B49" s="5" t="s">
        <v>7</v>
      </c>
      <c r="C49" s="5" t="s">
        <v>8</v>
      </c>
      <c r="D49" s="5" t="s">
        <v>9</v>
      </c>
      <c r="E49" s="5" t="s">
        <v>10</v>
      </c>
      <c r="F49" s="5" t="s">
        <v>11</v>
      </c>
      <c r="G49" s="5" t="s">
        <v>12</v>
      </c>
      <c r="H49" s="5" t="s">
        <v>13</v>
      </c>
      <c r="I49" s="36" t="s">
        <v>18</v>
      </c>
      <c r="J49" s="5" t="s">
        <v>14</v>
      </c>
    </row>
    <row r="50" ht="15.75" customHeight="1">
      <c r="A50" s="6" t="s">
        <v>15</v>
      </c>
      <c r="B50" s="7"/>
      <c r="C50" s="7"/>
      <c r="D50" s="7"/>
      <c r="E50" s="7"/>
      <c r="F50" s="7"/>
      <c r="G50" s="7"/>
      <c r="H50" s="7"/>
      <c r="I50" s="7"/>
      <c r="J50" s="8"/>
    </row>
    <row r="51" ht="15.75" customHeight="1">
      <c r="A51" s="37" t="s">
        <v>50</v>
      </c>
      <c r="B51" s="38">
        <v>5.0</v>
      </c>
      <c r="C51" s="13">
        <v>0.0</v>
      </c>
      <c r="D51" s="13">
        <v>0.0</v>
      </c>
      <c r="E51" s="13">
        <v>0.0</v>
      </c>
      <c r="F51" s="14">
        <f t="shared" ref="F51:F55" si="32">SUM(B51:E51)</f>
        <v>5</v>
      </c>
      <c r="G51" s="14">
        <f t="shared" ref="G51:G55" si="33">4*B51+3*C51+2*D51+1*E51</f>
        <v>20</v>
      </c>
      <c r="H51" s="15">
        <f t="shared" ref="H51:H55" si="34">IF(F51=0,"",ROUND(G51/F51,2))</f>
        <v>4</v>
      </c>
      <c r="I51" s="16">
        <f t="shared" ref="I51:I55" si="35">IFERROR(IF(F51&lt;=1,"",ROUND(SQRT((B51*(4-H51)^2+C51*(3-H51)^2+D51*(2-H51)^2+E51*(1-H51)^2)/(F51-1)),2)),"")</f>
        <v>0</v>
      </c>
      <c r="J51" s="17" t="str">
        <f t="shared" ref="J51:J56" si="36">IF(H51="","",IF(H51&gt;=3.26,"Strongly Agree / Highly Satisfactory",IF(H51&gt;=2.51,"Agree / Satisfactory",IF(H51&gt;=1.76,"Disagree / Unsatisfactory","Strongly Disagree / Highly Unsatisfactory"))))</f>
        <v>Strongly Agree / Highly Satisfactory</v>
      </c>
    </row>
    <row r="52" ht="15.75" customHeight="1">
      <c r="A52" s="37" t="s">
        <v>51</v>
      </c>
      <c r="B52" s="38">
        <v>5.0</v>
      </c>
      <c r="C52" s="13">
        <v>0.0</v>
      </c>
      <c r="D52" s="13">
        <v>0.0</v>
      </c>
      <c r="E52" s="13">
        <v>0.0</v>
      </c>
      <c r="F52" s="14">
        <f t="shared" si="32"/>
        <v>5</v>
      </c>
      <c r="G52" s="14">
        <f t="shared" si="33"/>
        <v>20</v>
      </c>
      <c r="H52" s="15">
        <f t="shared" si="34"/>
        <v>4</v>
      </c>
      <c r="I52" s="16">
        <f t="shared" si="35"/>
        <v>0</v>
      </c>
      <c r="J52" s="17" t="str">
        <f t="shared" si="36"/>
        <v>Strongly Agree / Highly Satisfactory</v>
      </c>
    </row>
    <row r="53" ht="15.75" customHeight="1">
      <c r="A53" s="37" t="s">
        <v>52</v>
      </c>
      <c r="B53" s="38">
        <v>3.0</v>
      </c>
      <c r="C53" s="13">
        <v>2.0</v>
      </c>
      <c r="D53" s="13">
        <v>0.0</v>
      </c>
      <c r="E53" s="13">
        <v>0.0</v>
      </c>
      <c r="F53" s="14">
        <f t="shared" si="32"/>
        <v>5</v>
      </c>
      <c r="G53" s="14">
        <f t="shared" si="33"/>
        <v>18</v>
      </c>
      <c r="H53" s="15">
        <f t="shared" si="34"/>
        <v>3.6</v>
      </c>
      <c r="I53" s="16">
        <f t="shared" si="35"/>
        <v>0.55</v>
      </c>
      <c r="J53" s="17" t="str">
        <f t="shared" si="36"/>
        <v>Strongly Agree / Highly Satisfactory</v>
      </c>
    </row>
    <row r="54" ht="15.75" customHeight="1">
      <c r="A54" s="37" t="s">
        <v>53</v>
      </c>
      <c r="B54" s="38">
        <v>4.0</v>
      </c>
      <c r="C54" s="13">
        <v>1.0</v>
      </c>
      <c r="D54" s="13">
        <v>0.0</v>
      </c>
      <c r="E54" s="13">
        <v>0.0</v>
      </c>
      <c r="F54" s="14">
        <f t="shared" si="32"/>
        <v>5</v>
      </c>
      <c r="G54" s="14">
        <f t="shared" si="33"/>
        <v>19</v>
      </c>
      <c r="H54" s="15">
        <f t="shared" si="34"/>
        <v>3.8</v>
      </c>
      <c r="I54" s="16">
        <f t="shared" si="35"/>
        <v>0.45</v>
      </c>
      <c r="J54" s="17" t="str">
        <f t="shared" si="36"/>
        <v>Strongly Agree / Highly Satisfactory</v>
      </c>
    </row>
    <row r="55" ht="15.75" customHeight="1">
      <c r="A55" s="37" t="s">
        <v>54</v>
      </c>
      <c r="B55" s="38">
        <v>4.0</v>
      </c>
      <c r="C55" s="13">
        <v>1.0</v>
      </c>
      <c r="D55" s="13">
        <v>0.0</v>
      </c>
      <c r="E55" s="13">
        <v>0.0</v>
      </c>
      <c r="F55" s="14">
        <f t="shared" si="32"/>
        <v>5</v>
      </c>
      <c r="G55" s="14">
        <f t="shared" si="33"/>
        <v>19</v>
      </c>
      <c r="H55" s="15">
        <f t="shared" si="34"/>
        <v>3.8</v>
      </c>
      <c r="I55" s="16">
        <f t="shared" si="35"/>
        <v>0.45</v>
      </c>
      <c r="J55" s="17" t="str">
        <f t="shared" si="36"/>
        <v>Strongly Agree / Highly Satisfactory</v>
      </c>
    </row>
    <row r="56" ht="15.75" customHeight="1">
      <c r="A56" s="19" t="s">
        <v>29</v>
      </c>
      <c r="B56" s="20"/>
      <c r="C56" s="20"/>
      <c r="D56" s="20"/>
      <c r="E56" s="20"/>
      <c r="F56" s="20"/>
      <c r="G56" s="20"/>
      <c r="H56" s="21">
        <f t="shared" ref="H56:I56" si="37">IFERROR(ROUND(AVERAGE(H51:H55),2),"")</f>
        <v>3.84</v>
      </c>
      <c r="I56" s="22">
        <f t="shared" si="37"/>
        <v>0.29</v>
      </c>
      <c r="J56" s="23" t="str">
        <f t="shared" si="36"/>
        <v>Strongly Agree / Highly Satisfactory</v>
      </c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40"/>
      <c r="J57" s="39"/>
    </row>
    <row r="58" ht="15.75" customHeight="1">
      <c r="A58" s="41" t="s">
        <v>17</v>
      </c>
      <c r="B58" s="42"/>
      <c r="C58" s="42"/>
      <c r="D58" s="42"/>
      <c r="E58" s="42"/>
      <c r="F58" s="42"/>
      <c r="G58" s="42"/>
      <c r="H58" s="42"/>
      <c r="I58" s="42"/>
      <c r="J58" s="43"/>
    </row>
    <row r="59" ht="15.75" customHeight="1">
      <c r="A59" s="37" t="s">
        <v>55</v>
      </c>
      <c r="B59" s="38">
        <v>5.0</v>
      </c>
      <c r="C59" s="13">
        <v>0.0</v>
      </c>
      <c r="D59" s="13">
        <v>0.0</v>
      </c>
      <c r="E59" s="13">
        <v>0.0</v>
      </c>
      <c r="F59" s="14">
        <f t="shared" ref="F59:F62" si="38">SUM(B59:E59)</f>
        <v>5</v>
      </c>
      <c r="G59" s="14">
        <f t="shared" ref="G59:G62" si="39">4*B59+3*C59+2*D59+1*E59</f>
        <v>20</v>
      </c>
      <c r="H59" s="15">
        <f t="shared" ref="H59:H62" si="40">IF(F59=0,"",ROUND(G59/F59,2))</f>
        <v>4</v>
      </c>
      <c r="I59" s="16">
        <f t="shared" ref="I59:I62" si="41">IFERROR(IF(F59&lt;=1,"",ROUND(SQRT((B59*(4-H59)^2+C59*(3-H59)^2+D59*(2-H59)^2+E59*(1-H59)^2)/(F59-1)),2)),"")</f>
        <v>0</v>
      </c>
      <c r="J59" s="17" t="str">
        <f t="shared" ref="J59:J63" si="42">IF(H59="","",IF(H59&gt;=3.26,"Strongly Agree / Highly Satisfactory",IF(H59&gt;=2.51,"Agree / Satisfactory",IF(H59&gt;=1.76,"Disagree / Unsatisfactory","Strongly Disagree / Highly Unsatisfactory"))))</f>
        <v>Strongly Agree / Highly Satisfactory</v>
      </c>
    </row>
    <row r="60" ht="15.75" customHeight="1">
      <c r="A60" s="37" t="s">
        <v>56</v>
      </c>
      <c r="B60" s="38">
        <v>1.0</v>
      </c>
      <c r="C60" s="13">
        <v>4.0</v>
      </c>
      <c r="D60" s="13">
        <v>0.0</v>
      </c>
      <c r="E60" s="13">
        <v>0.0</v>
      </c>
      <c r="F60" s="14">
        <f t="shared" si="38"/>
        <v>5</v>
      </c>
      <c r="G60" s="14">
        <f t="shared" si="39"/>
        <v>16</v>
      </c>
      <c r="H60" s="15">
        <f t="shared" si="40"/>
        <v>3.2</v>
      </c>
      <c r="I60" s="16">
        <f t="shared" si="41"/>
        <v>0.45</v>
      </c>
      <c r="J60" s="17" t="str">
        <f t="shared" si="42"/>
        <v>Agree / Satisfactory</v>
      </c>
    </row>
    <row r="61" ht="15.75" customHeight="1">
      <c r="A61" s="37" t="s">
        <v>57</v>
      </c>
      <c r="B61" s="38">
        <v>3.0</v>
      </c>
      <c r="C61" s="13">
        <v>2.0</v>
      </c>
      <c r="D61" s="13">
        <v>0.0</v>
      </c>
      <c r="E61" s="13">
        <v>0.0</v>
      </c>
      <c r="F61" s="14">
        <f t="shared" si="38"/>
        <v>5</v>
      </c>
      <c r="G61" s="14">
        <f t="shared" si="39"/>
        <v>18</v>
      </c>
      <c r="H61" s="15">
        <f t="shared" si="40"/>
        <v>3.6</v>
      </c>
      <c r="I61" s="16">
        <f t="shared" si="41"/>
        <v>0.55</v>
      </c>
      <c r="J61" s="17" t="str">
        <f t="shared" si="42"/>
        <v>Strongly Agree / Highly Satisfactory</v>
      </c>
    </row>
    <row r="62" ht="15.75" customHeight="1">
      <c r="A62" s="37" t="s">
        <v>58</v>
      </c>
      <c r="B62" s="38">
        <v>1.0</v>
      </c>
      <c r="C62" s="13">
        <v>3.0</v>
      </c>
      <c r="D62" s="13">
        <v>1.0</v>
      </c>
      <c r="E62" s="13">
        <v>0.0</v>
      </c>
      <c r="F62" s="14">
        <f t="shared" si="38"/>
        <v>5</v>
      </c>
      <c r="G62" s="14">
        <f t="shared" si="39"/>
        <v>15</v>
      </c>
      <c r="H62" s="15">
        <f t="shared" si="40"/>
        <v>3</v>
      </c>
      <c r="I62" s="16">
        <f t="shared" si="41"/>
        <v>0.71</v>
      </c>
      <c r="J62" s="17" t="str">
        <f t="shared" si="42"/>
        <v>Agree / Satisfactory</v>
      </c>
    </row>
    <row r="63" ht="15.75" customHeight="1">
      <c r="A63" s="44" t="s">
        <v>29</v>
      </c>
      <c r="B63" s="20"/>
      <c r="C63" s="20"/>
      <c r="D63" s="20"/>
      <c r="E63" s="20"/>
      <c r="F63" s="20"/>
      <c r="G63" s="20"/>
      <c r="H63" s="21">
        <f t="shared" ref="H63:I63" si="43">IFERROR(ROUND(AVERAGE(H59:H62),2),"")</f>
        <v>3.45</v>
      </c>
      <c r="I63" s="22">
        <f t="shared" si="43"/>
        <v>0.43</v>
      </c>
      <c r="J63" s="23" t="str">
        <f t="shared" si="42"/>
        <v>Strongly Agree / Highly Satisfactory</v>
      </c>
    </row>
    <row r="64" ht="15.75" customHeight="1">
      <c r="I64" s="24"/>
    </row>
    <row r="65" ht="15.75" customHeight="1">
      <c r="A65" s="41" t="s">
        <v>20</v>
      </c>
      <c r="B65" s="42"/>
      <c r="C65" s="42"/>
      <c r="D65" s="42"/>
      <c r="E65" s="42"/>
      <c r="F65" s="42"/>
      <c r="G65" s="42"/>
      <c r="H65" s="42"/>
      <c r="I65" s="42"/>
      <c r="J65" s="43"/>
    </row>
    <row r="66" ht="15.75" customHeight="1">
      <c r="A66" s="37" t="s">
        <v>19</v>
      </c>
      <c r="B66" s="13">
        <v>4.0</v>
      </c>
      <c r="C66" s="13">
        <v>1.0</v>
      </c>
      <c r="D66" s="13">
        <v>0.0</v>
      </c>
      <c r="E66" s="13">
        <v>0.0</v>
      </c>
      <c r="F66" s="14">
        <f t="shared" ref="F66:F70" si="44">SUM(B66:E66)</f>
        <v>5</v>
      </c>
      <c r="G66" s="14">
        <f t="shared" ref="G66:G70" si="45">4*B66+3*C66+2*D66+1*E66</f>
        <v>19</v>
      </c>
      <c r="H66" s="15">
        <f t="shared" ref="H66:H70" si="46">IF(F66=0,"",ROUND(G66/F66,2))</f>
        <v>3.8</v>
      </c>
      <c r="I66" s="16">
        <f t="shared" ref="I66:I70" si="47">IFERROR(IF(F66&lt;=1,"",ROUND(SQRT((B66*(4-H66)^2+C66*(3-H66)^2+D66*(2-H66)^2+E66*(1-H66)^2)/(F66-1)),2)),"")</f>
        <v>0.45</v>
      </c>
      <c r="J66" s="17" t="str">
        <f t="shared" ref="J66:J71" si="48">IF(H66="","",IF(H66&gt;=3.26,"Strongly Agree / Highly Satisfactory",IF(H66&gt;=2.51,"Agree / Satisfactory",IF(H66&gt;=1.76,"Disagree / Unsatisfactory","Strongly Disagree / Highly Unsatisfactory"))))</f>
        <v>Strongly Agree / Highly Satisfactory</v>
      </c>
    </row>
    <row r="67" ht="15.75" customHeight="1">
      <c r="A67" s="37" t="s">
        <v>59</v>
      </c>
      <c r="B67" s="13">
        <v>4.0</v>
      </c>
      <c r="C67" s="13">
        <v>1.0</v>
      </c>
      <c r="D67" s="13">
        <v>0.0</v>
      </c>
      <c r="E67" s="13">
        <v>0.0</v>
      </c>
      <c r="F67" s="14">
        <f t="shared" si="44"/>
        <v>5</v>
      </c>
      <c r="G67" s="14">
        <f t="shared" si="45"/>
        <v>19</v>
      </c>
      <c r="H67" s="15">
        <f t="shared" si="46"/>
        <v>3.8</v>
      </c>
      <c r="I67" s="16">
        <f t="shared" si="47"/>
        <v>0.45</v>
      </c>
      <c r="J67" s="17" t="str">
        <f t="shared" si="48"/>
        <v>Strongly Agree / Highly Satisfactory</v>
      </c>
    </row>
    <row r="68" ht="15.75" customHeight="1">
      <c r="A68" s="37" t="s">
        <v>60</v>
      </c>
      <c r="B68" s="13">
        <v>2.0</v>
      </c>
      <c r="C68" s="13">
        <v>2.0</v>
      </c>
      <c r="D68" s="13">
        <v>1.0</v>
      </c>
      <c r="E68" s="13">
        <v>0.0</v>
      </c>
      <c r="F68" s="14">
        <f t="shared" si="44"/>
        <v>5</v>
      </c>
      <c r="G68" s="14">
        <f t="shared" si="45"/>
        <v>16</v>
      </c>
      <c r="H68" s="15">
        <f t="shared" si="46"/>
        <v>3.2</v>
      </c>
      <c r="I68" s="16">
        <f t="shared" si="47"/>
        <v>0.84</v>
      </c>
      <c r="J68" s="17" t="str">
        <f t="shared" si="48"/>
        <v>Agree / Satisfactory</v>
      </c>
    </row>
    <row r="69" ht="15.75" customHeight="1">
      <c r="A69" s="37" t="s">
        <v>61</v>
      </c>
      <c r="B69" s="13">
        <v>4.0</v>
      </c>
      <c r="C69" s="13">
        <v>1.0</v>
      </c>
      <c r="D69" s="13">
        <v>0.0</v>
      </c>
      <c r="E69" s="13">
        <v>0.0</v>
      </c>
      <c r="F69" s="14">
        <f t="shared" si="44"/>
        <v>5</v>
      </c>
      <c r="G69" s="14">
        <f t="shared" si="45"/>
        <v>19</v>
      </c>
      <c r="H69" s="15">
        <f t="shared" si="46"/>
        <v>3.8</v>
      </c>
      <c r="I69" s="16">
        <f t="shared" si="47"/>
        <v>0.45</v>
      </c>
      <c r="J69" s="17" t="str">
        <f t="shared" si="48"/>
        <v>Strongly Agree / Highly Satisfactory</v>
      </c>
    </row>
    <row r="70" ht="15.75" customHeight="1">
      <c r="A70" s="37" t="s">
        <v>62</v>
      </c>
      <c r="B70" s="13">
        <v>2.0</v>
      </c>
      <c r="C70" s="13">
        <v>3.0</v>
      </c>
      <c r="D70" s="13">
        <v>0.0</v>
      </c>
      <c r="E70" s="13">
        <v>0.0</v>
      </c>
      <c r="F70" s="14">
        <f t="shared" si="44"/>
        <v>5</v>
      </c>
      <c r="G70" s="14">
        <f t="shared" si="45"/>
        <v>17</v>
      </c>
      <c r="H70" s="15">
        <f t="shared" si="46"/>
        <v>3.4</v>
      </c>
      <c r="I70" s="16">
        <f t="shared" si="47"/>
        <v>0.55</v>
      </c>
      <c r="J70" s="17" t="str">
        <f t="shared" si="48"/>
        <v>Strongly Agree / Highly Satisfactory</v>
      </c>
    </row>
    <row r="71" ht="15.75" customHeight="1">
      <c r="A71" s="44" t="s">
        <v>29</v>
      </c>
      <c r="B71" s="20"/>
      <c r="C71" s="20"/>
      <c r="D71" s="20"/>
      <c r="E71" s="20"/>
      <c r="F71" s="20"/>
      <c r="G71" s="20"/>
      <c r="H71" s="21">
        <f t="shared" ref="H71:I71" si="49">IFERROR(ROUND(AVERAGE(H66:H70),2),"")</f>
        <v>3.6</v>
      </c>
      <c r="I71" s="22">
        <f t="shared" si="49"/>
        <v>0.55</v>
      </c>
      <c r="J71" s="23" t="str">
        <f t="shared" si="48"/>
        <v>Strongly Agree / Highly Satisfactory</v>
      </c>
    </row>
    <row r="72" ht="15.75" customHeight="1">
      <c r="I72" s="24"/>
    </row>
    <row r="73" ht="15.75" customHeight="1">
      <c r="A73" s="41" t="s">
        <v>22</v>
      </c>
      <c r="B73" s="42"/>
      <c r="C73" s="42"/>
      <c r="D73" s="42"/>
      <c r="E73" s="42"/>
      <c r="F73" s="42"/>
      <c r="G73" s="42"/>
      <c r="H73" s="42"/>
      <c r="I73" s="42"/>
      <c r="J73" s="43"/>
    </row>
    <row r="74" ht="15.75" customHeight="1">
      <c r="A74" s="37" t="s">
        <v>63</v>
      </c>
      <c r="B74" s="38">
        <v>1.0</v>
      </c>
      <c r="C74" s="13">
        <v>4.0</v>
      </c>
      <c r="D74" s="13">
        <v>0.0</v>
      </c>
      <c r="E74" s="13">
        <v>0.0</v>
      </c>
      <c r="F74" s="14">
        <f t="shared" ref="F74:F78" si="50">SUM(B74:E74)</f>
        <v>5</v>
      </c>
      <c r="G74" s="14">
        <f t="shared" ref="G74:G78" si="51">4*B74+3*C74+2*D74+1*E74</f>
        <v>16</v>
      </c>
      <c r="H74" s="15">
        <f t="shared" ref="H74:H78" si="52">IF(F74=0,"",ROUND(G74/F74,2))</f>
        <v>3.2</v>
      </c>
      <c r="I74" s="16">
        <f t="shared" ref="I74:I78" si="53">IFERROR(IF(F74&lt;=1,"",ROUND(SQRT((B74*(4-H74)^2+C74*(3-H74)^2+D74*(2-H74)^2+E74*(1-H74)^2)/(F74-1)),2)),"")</f>
        <v>0.45</v>
      </c>
      <c r="J74" s="17" t="str">
        <f t="shared" ref="J74:J79" si="54">IF(H74="","",IF(H74&gt;=3.26,"Strongly Agree / Highly Satisfactory",IF(H74&gt;=2.51,"Agree / Satisfactory",IF(H74&gt;=1.76,"Disagree / Unsatisfactory","Strongly Disagree / Highly Unsatisfactory"))))</f>
        <v>Agree / Satisfactory</v>
      </c>
    </row>
    <row r="75" ht="15.75" customHeight="1">
      <c r="A75" s="37" t="s">
        <v>64</v>
      </c>
      <c r="B75" s="38">
        <v>2.0</v>
      </c>
      <c r="C75" s="13">
        <v>3.0</v>
      </c>
      <c r="D75" s="13">
        <v>0.0</v>
      </c>
      <c r="E75" s="13">
        <v>0.0</v>
      </c>
      <c r="F75" s="14">
        <f t="shared" si="50"/>
        <v>5</v>
      </c>
      <c r="G75" s="14">
        <f t="shared" si="51"/>
        <v>17</v>
      </c>
      <c r="H75" s="15">
        <f t="shared" si="52"/>
        <v>3.4</v>
      </c>
      <c r="I75" s="16">
        <f t="shared" si="53"/>
        <v>0.55</v>
      </c>
      <c r="J75" s="17" t="str">
        <f t="shared" si="54"/>
        <v>Strongly Agree / Highly Satisfactory</v>
      </c>
    </row>
    <row r="76" ht="15.75" customHeight="1">
      <c r="A76" s="37" t="s">
        <v>65</v>
      </c>
      <c r="B76" s="38">
        <v>3.0</v>
      </c>
      <c r="C76" s="13">
        <v>2.0</v>
      </c>
      <c r="D76" s="13">
        <v>0.0</v>
      </c>
      <c r="E76" s="13">
        <v>0.0</v>
      </c>
      <c r="F76" s="14">
        <f t="shared" si="50"/>
        <v>5</v>
      </c>
      <c r="G76" s="14">
        <f t="shared" si="51"/>
        <v>18</v>
      </c>
      <c r="H76" s="15">
        <f t="shared" si="52"/>
        <v>3.6</v>
      </c>
      <c r="I76" s="16">
        <f t="shared" si="53"/>
        <v>0.55</v>
      </c>
      <c r="J76" s="17" t="str">
        <f t="shared" si="54"/>
        <v>Strongly Agree / Highly Satisfactory</v>
      </c>
    </row>
    <row r="77" ht="15.75" customHeight="1">
      <c r="A77" s="37" t="s">
        <v>66</v>
      </c>
      <c r="B77" s="38">
        <v>3.0</v>
      </c>
      <c r="C77" s="13">
        <v>2.0</v>
      </c>
      <c r="D77" s="13">
        <v>0.0</v>
      </c>
      <c r="E77" s="13">
        <v>0.0</v>
      </c>
      <c r="F77" s="14">
        <f t="shared" si="50"/>
        <v>5</v>
      </c>
      <c r="G77" s="14">
        <f t="shared" si="51"/>
        <v>18</v>
      </c>
      <c r="H77" s="15">
        <f t="shared" si="52"/>
        <v>3.6</v>
      </c>
      <c r="I77" s="16">
        <f t="shared" si="53"/>
        <v>0.55</v>
      </c>
      <c r="J77" s="17" t="str">
        <f t="shared" si="54"/>
        <v>Strongly Agree / Highly Satisfactory</v>
      </c>
    </row>
    <row r="78" ht="15.75" customHeight="1">
      <c r="A78" s="37" t="s">
        <v>67</v>
      </c>
      <c r="B78" s="38">
        <v>3.0</v>
      </c>
      <c r="C78" s="13">
        <v>2.0</v>
      </c>
      <c r="D78" s="13">
        <v>0.0</v>
      </c>
      <c r="E78" s="13">
        <v>0.0</v>
      </c>
      <c r="F78" s="14">
        <f t="shared" si="50"/>
        <v>5</v>
      </c>
      <c r="G78" s="14">
        <f t="shared" si="51"/>
        <v>18</v>
      </c>
      <c r="H78" s="15">
        <f t="shared" si="52"/>
        <v>3.6</v>
      </c>
      <c r="I78" s="16">
        <f t="shared" si="53"/>
        <v>0.55</v>
      </c>
      <c r="J78" s="17" t="str">
        <f t="shared" si="54"/>
        <v>Strongly Agree / Highly Satisfactory</v>
      </c>
    </row>
    <row r="79" ht="15.75" customHeight="1">
      <c r="A79" s="44" t="s">
        <v>29</v>
      </c>
      <c r="B79" s="20"/>
      <c r="C79" s="20"/>
      <c r="D79" s="20"/>
      <c r="E79" s="20"/>
      <c r="F79" s="20"/>
      <c r="G79" s="20"/>
      <c r="H79" s="21">
        <f t="shared" ref="H79:I79" si="55">IFERROR(ROUND(AVERAGE(H74:H78),2),"")</f>
        <v>3.48</v>
      </c>
      <c r="I79" s="22">
        <f t="shared" si="55"/>
        <v>0.53</v>
      </c>
      <c r="J79" s="23" t="str">
        <f t="shared" si="54"/>
        <v>Strongly Agree / Highly Satisfactory</v>
      </c>
    </row>
    <row r="80" ht="15.75" customHeight="1">
      <c r="I80" s="24"/>
    </row>
    <row r="81" ht="15.75" customHeight="1">
      <c r="A81" s="41" t="s">
        <v>23</v>
      </c>
      <c r="B81" s="42"/>
      <c r="C81" s="42"/>
      <c r="D81" s="42"/>
      <c r="E81" s="42"/>
      <c r="F81" s="42"/>
      <c r="G81" s="42"/>
      <c r="H81" s="42"/>
      <c r="I81" s="42"/>
      <c r="J81" s="43"/>
    </row>
    <row r="82" ht="15.75" customHeight="1">
      <c r="A82" s="37" t="s">
        <v>68</v>
      </c>
      <c r="B82" s="38">
        <v>3.0</v>
      </c>
      <c r="C82" s="13">
        <v>2.0</v>
      </c>
      <c r="D82" s="13">
        <v>0.0</v>
      </c>
      <c r="E82" s="13">
        <v>0.0</v>
      </c>
      <c r="F82" s="14">
        <f t="shared" ref="F82:F86" si="56">SUM(B82:E82)</f>
        <v>5</v>
      </c>
      <c r="G82" s="14">
        <f t="shared" ref="G82:G86" si="57">4*B82+3*C82+2*D82+1*E82</f>
        <v>18</v>
      </c>
      <c r="H82" s="15">
        <f t="shared" ref="H82:H86" si="58">IF(F82=0,"",ROUND(G82/F82,2))</f>
        <v>3.6</v>
      </c>
      <c r="I82" s="16">
        <f t="shared" ref="I82:I86" si="59">IFERROR(IF(F82&lt;=1,"",ROUND(SQRT((B82*(4-H82)^2+C82*(3-H82)^2+D82*(2-H82)^2+E82*(1-H82)^2)/(F82-1)),2)),"")</f>
        <v>0.55</v>
      </c>
      <c r="J82" s="17" t="str">
        <f t="shared" ref="J82:J87" si="60">IF(H82="","",IF(H82&gt;=3.26,"Strongly Agree / Highly Satisfactory",IF(H82&gt;=2.51,"Agree / Satisfactory",IF(H82&gt;=1.76,"Disagree / Unsatisfactory","Strongly Disagree / Highly Unsatisfactory"))))</f>
        <v>Strongly Agree / Highly Satisfactory</v>
      </c>
    </row>
    <row r="83" ht="15.75" customHeight="1">
      <c r="A83" s="37" t="s">
        <v>69</v>
      </c>
      <c r="B83" s="38">
        <v>5.0</v>
      </c>
      <c r="C83" s="13">
        <v>0.0</v>
      </c>
      <c r="D83" s="13">
        <v>0.0</v>
      </c>
      <c r="E83" s="13">
        <v>0.0</v>
      </c>
      <c r="F83" s="14">
        <f t="shared" si="56"/>
        <v>5</v>
      </c>
      <c r="G83" s="14">
        <f t="shared" si="57"/>
        <v>20</v>
      </c>
      <c r="H83" s="15">
        <f t="shared" si="58"/>
        <v>4</v>
      </c>
      <c r="I83" s="16">
        <f t="shared" si="59"/>
        <v>0</v>
      </c>
      <c r="J83" s="17" t="str">
        <f t="shared" si="60"/>
        <v>Strongly Agree / Highly Satisfactory</v>
      </c>
    </row>
    <row r="84" ht="15.75" customHeight="1">
      <c r="A84" s="37" t="s">
        <v>70</v>
      </c>
      <c r="B84" s="38">
        <v>3.0</v>
      </c>
      <c r="C84" s="13">
        <v>2.0</v>
      </c>
      <c r="D84" s="13">
        <v>0.0</v>
      </c>
      <c r="E84" s="13">
        <v>0.0</v>
      </c>
      <c r="F84" s="14">
        <f t="shared" si="56"/>
        <v>5</v>
      </c>
      <c r="G84" s="14">
        <f t="shared" si="57"/>
        <v>18</v>
      </c>
      <c r="H84" s="15">
        <f t="shared" si="58"/>
        <v>3.6</v>
      </c>
      <c r="I84" s="16">
        <f t="shared" si="59"/>
        <v>0.55</v>
      </c>
      <c r="J84" s="17" t="str">
        <f t="shared" si="60"/>
        <v>Strongly Agree / Highly Satisfactory</v>
      </c>
    </row>
    <row r="85" ht="15.75" customHeight="1">
      <c r="A85" s="37" t="s">
        <v>71</v>
      </c>
      <c r="B85" s="38">
        <v>5.0</v>
      </c>
      <c r="C85" s="13">
        <v>0.0</v>
      </c>
      <c r="D85" s="13">
        <v>0.0</v>
      </c>
      <c r="E85" s="13">
        <v>0.0</v>
      </c>
      <c r="F85" s="14">
        <f t="shared" si="56"/>
        <v>5</v>
      </c>
      <c r="G85" s="14">
        <f t="shared" si="57"/>
        <v>20</v>
      </c>
      <c r="H85" s="15">
        <f t="shared" si="58"/>
        <v>4</v>
      </c>
      <c r="I85" s="16">
        <f t="shared" si="59"/>
        <v>0</v>
      </c>
      <c r="J85" s="17" t="str">
        <f t="shared" si="60"/>
        <v>Strongly Agree / Highly Satisfactory</v>
      </c>
    </row>
    <row r="86" ht="15.75" customHeight="1">
      <c r="A86" s="37" t="s">
        <v>72</v>
      </c>
      <c r="B86" s="38">
        <v>4.0</v>
      </c>
      <c r="C86" s="13">
        <v>1.0</v>
      </c>
      <c r="D86" s="13">
        <v>0.0</v>
      </c>
      <c r="E86" s="13">
        <v>0.0</v>
      </c>
      <c r="F86" s="14">
        <f t="shared" si="56"/>
        <v>5</v>
      </c>
      <c r="G86" s="14">
        <f t="shared" si="57"/>
        <v>19</v>
      </c>
      <c r="H86" s="15">
        <f t="shared" si="58"/>
        <v>3.8</v>
      </c>
      <c r="I86" s="16">
        <f t="shared" si="59"/>
        <v>0.45</v>
      </c>
      <c r="J86" s="17" t="str">
        <f t="shared" si="60"/>
        <v>Strongly Agree / Highly Satisfactory</v>
      </c>
    </row>
    <row r="87" ht="15.75" customHeight="1">
      <c r="A87" s="44" t="s">
        <v>29</v>
      </c>
      <c r="B87" s="20"/>
      <c r="C87" s="20"/>
      <c r="D87" s="20"/>
      <c r="E87" s="20"/>
      <c r="F87" s="20"/>
      <c r="G87" s="20"/>
      <c r="H87" s="21">
        <f t="shared" ref="H87:I87" si="61">IFERROR(ROUND(AVERAGE(H82:H86),2),"")</f>
        <v>3.8</v>
      </c>
      <c r="I87" s="22">
        <f t="shared" si="61"/>
        <v>0.31</v>
      </c>
      <c r="J87" s="23" t="str">
        <f t="shared" si="60"/>
        <v>Strongly Agree / Highly Satisfactory</v>
      </c>
    </row>
    <row r="88" ht="15.75" customHeight="1">
      <c r="I88" s="24"/>
    </row>
    <row r="89" ht="15.75" customHeight="1">
      <c r="A89" s="25" t="s">
        <v>49</v>
      </c>
      <c r="B89" s="26"/>
      <c r="C89" s="26"/>
      <c r="D89" s="26"/>
      <c r="E89" s="26"/>
      <c r="F89" s="26"/>
      <c r="G89" s="26"/>
      <c r="H89" s="27">
        <f>IFERROR(ROUND(AVERAGE(H55,H63,H71,H79,H87),2),"")</f>
        <v>3.63</v>
      </c>
      <c r="I89" s="28">
        <f>IFERROR(ROUND(AVERAGE(I56,I63,I71,I79,I87),2),"")</f>
        <v>0.42</v>
      </c>
      <c r="J89" s="29" t="str">
        <f>IF(H89="","",IF(H89&gt;=3.26,"Strongly Agree / Highly Satisfactory",IF(H89&gt;=2.51,"Agree / Satisfactory",IF(H89&gt;=1.76,"Disagree / Unsatisfactory","Strongly Disagree / Highly Unsatisfactory"))))</f>
        <v>Strongly Agree / Highly Satisfactory</v>
      </c>
    </row>
    <row r="90" ht="15.75" customHeight="1">
      <c r="I90" s="24"/>
    </row>
    <row r="91" ht="15.75" customHeight="1">
      <c r="I91" s="24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6"/>
      <c r="J92" s="45"/>
    </row>
    <row r="93" ht="15.75" customHeight="1">
      <c r="A93" s="34" t="s">
        <v>73</v>
      </c>
      <c r="B93" s="2"/>
      <c r="C93" s="2"/>
      <c r="D93" s="2"/>
      <c r="E93" s="2"/>
      <c r="F93" s="2"/>
      <c r="G93" s="2"/>
      <c r="H93" s="2"/>
      <c r="I93" s="2"/>
      <c r="J93" s="3"/>
    </row>
    <row r="94" ht="15.75" customHeight="1">
      <c r="A94" s="4" t="s">
        <v>6</v>
      </c>
      <c r="B94" s="2"/>
      <c r="C94" s="2"/>
      <c r="D94" s="2"/>
      <c r="E94" s="2"/>
      <c r="F94" s="2"/>
      <c r="G94" s="2"/>
      <c r="H94" s="2"/>
      <c r="I94" s="2"/>
      <c r="J94" s="3"/>
    </row>
    <row r="95" ht="15.75" customHeight="1">
      <c r="A95" s="35" t="s">
        <v>5</v>
      </c>
      <c r="B95" s="5" t="s">
        <v>7</v>
      </c>
      <c r="C95" s="5" t="s">
        <v>8</v>
      </c>
      <c r="D95" s="5" t="s">
        <v>9</v>
      </c>
      <c r="E95" s="5" t="s">
        <v>10</v>
      </c>
      <c r="F95" s="5" t="s">
        <v>11</v>
      </c>
      <c r="G95" s="5" t="s">
        <v>12</v>
      </c>
      <c r="H95" s="5" t="s">
        <v>13</v>
      </c>
      <c r="I95" s="36" t="s">
        <v>18</v>
      </c>
      <c r="J95" s="5" t="s">
        <v>14</v>
      </c>
    </row>
    <row r="96" ht="15.75" customHeight="1">
      <c r="A96" s="41" t="s">
        <v>15</v>
      </c>
      <c r="B96" s="42"/>
      <c r="C96" s="42"/>
      <c r="D96" s="42"/>
      <c r="E96" s="42"/>
      <c r="F96" s="42"/>
      <c r="G96" s="42"/>
      <c r="H96" s="42"/>
      <c r="I96" s="42"/>
      <c r="J96" s="43"/>
    </row>
    <row r="97" ht="15.75" customHeight="1">
      <c r="A97" s="37" t="s">
        <v>74</v>
      </c>
      <c r="B97" s="13">
        <v>3.0</v>
      </c>
      <c r="C97" s="13">
        <v>2.0</v>
      </c>
      <c r="D97" s="13">
        <v>0.0</v>
      </c>
      <c r="E97" s="13">
        <v>0.0</v>
      </c>
      <c r="F97" s="14">
        <f t="shared" ref="F97:F101" si="62">SUM(B97:E97)</f>
        <v>5</v>
      </c>
      <c r="G97" s="14">
        <f t="shared" ref="G97:G101" si="63">4*B97+3*C97+2*D97+1*E97</f>
        <v>18</v>
      </c>
      <c r="H97" s="15">
        <f t="shared" ref="H97:H101" si="64">IF(F97=0,"",ROUND(G97/F97,2))</f>
        <v>3.6</v>
      </c>
      <c r="I97" s="16">
        <f t="shared" ref="I97:I101" si="65">IFERROR(IF(F97&lt;=1,"",ROUND(SQRT((B97*(4-H97)^2+C97*(3-H97)^2+D97*(2-H97)^2+E97*(1-H97)^2)/(F97-1)),2)),"")</f>
        <v>0.55</v>
      </c>
      <c r="J97" s="17" t="str">
        <f t="shared" ref="J97:J102" si="66">IF(H97="","",IF(H97&gt;=3.26,"Strongly Agree / Highly Satisfactory",IF(H97&gt;=2.51,"Agree / Satisfactory",IF(H97&gt;=1.76,"Disagree / Unsatisfactory","Strongly Disagree / Highly Unsatisfactory"))))</f>
        <v>Strongly Agree / Highly Satisfactory</v>
      </c>
    </row>
    <row r="98" ht="15.75" customHeight="1">
      <c r="A98" s="37" t="s">
        <v>75</v>
      </c>
      <c r="B98" s="13">
        <v>5.0</v>
      </c>
      <c r="C98" s="13">
        <v>0.0</v>
      </c>
      <c r="D98" s="13">
        <v>0.0</v>
      </c>
      <c r="E98" s="13">
        <v>0.0</v>
      </c>
      <c r="F98" s="14">
        <f t="shared" si="62"/>
        <v>5</v>
      </c>
      <c r="G98" s="14">
        <f t="shared" si="63"/>
        <v>20</v>
      </c>
      <c r="H98" s="15">
        <f t="shared" si="64"/>
        <v>4</v>
      </c>
      <c r="I98" s="16">
        <f t="shared" si="65"/>
        <v>0</v>
      </c>
      <c r="J98" s="17" t="str">
        <f t="shared" si="66"/>
        <v>Strongly Agree / Highly Satisfactory</v>
      </c>
    </row>
    <row r="99" ht="15.75" customHeight="1">
      <c r="A99" s="37" t="s">
        <v>76</v>
      </c>
      <c r="B99" s="13">
        <v>3.0</v>
      </c>
      <c r="C99" s="13">
        <v>2.0</v>
      </c>
      <c r="D99" s="13">
        <v>0.0</v>
      </c>
      <c r="E99" s="13">
        <v>0.0</v>
      </c>
      <c r="F99" s="14">
        <f t="shared" si="62"/>
        <v>5</v>
      </c>
      <c r="G99" s="14">
        <f t="shared" si="63"/>
        <v>18</v>
      </c>
      <c r="H99" s="15">
        <f t="shared" si="64"/>
        <v>3.6</v>
      </c>
      <c r="I99" s="16">
        <f t="shared" si="65"/>
        <v>0.55</v>
      </c>
      <c r="J99" s="17" t="str">
        <f t="shared" si="66"/>
        <v>Strongly Agree / Highly Satisfactory</v>
      </c>
    </row>
    <row r="100" ht="15.75" customHeight="1">
      <c r="A100" s="37" t="s">
        <v>77</v>
      </c>
      <c r="B100" s="13">
        <v>4.0</v>
      </c>
      <c r="C100" s="13">
        <v>1.0</v>
      </c>
      <c r="D100" s="13">
        <v>0.0</v>
      </c>
      <c r="E100" s="13">
        <v>0.0</v>
      </c>
      <c r="F100" s="14">
        <f t="shared" si="62"/>
        <v>5</v>
      </c>
      <c r="G100" s="14">
        <f t="shared" si="63"/>
        <v>19</v>
      </c>
      <c r="H100" s="15">
        <f t="shared" si="64"/>
        <v>3.8</v>
      </c>
      <c r="I100" s="16">
        <f t="shared" si="65"/>
        <v>0.45</v>
      </c>
      <c r="J100" s="17" t="str">
        <f t="shared" si="66"/>
        <v>Strongly Agree / Highly Satisfactory</v>
      </c>
    </row>
    <row r="101" ht="15.75" customHeight="1">
      <c r="A101" s="37" t="s">
        <v>78</v>
      </c>
      <c r="B101" s="13">
        <v>5.0</v>
      </c>
      <c r="C101" s="13">
        <v>0.0</v>
      </c>
      <c r="D101" s="13">
        <v>0.0</v>
      </c>
      <c r="E101" s="13">
        <v>0.0</v>
      </c>
      <c r="F101" s="14">
        <f t="shared" si="62"/>
        <v>5</v>
      </c>
      <c r="G101" s="14">
        <f t="shared" si="63"/>
        <v>20</v>
      </c>
      <c r="H101" s="15">
        <f t="shared" si="64"/>
        <v>4</v>
      </c>
      <c r="I101" s="16">
        <f t="shared" si="65"/>
        <v>0</v>
      </c>
      <c r="J101" s="17" t="str">
        <f t="shared" si="66"/>
        <v>Strongly Agree / Highly Satisfactory</v>
      </c>
    </row>
    <row r="102" ht="15.75" customHeight="1">
      <c r="A102" s="44" t="s">
        <v>29</v>
      </c>
      <c r="B102" s="20"/>
      <c r="C102" s="20"/>
      <c r="D102" s="20"/>
      <c r="E102" s="20"/>
      <c r="F102" s="20"/>
      <c r="G102" s="20"/>
      <c r="H102" s="21">
        <f t="shared" ref="H102:I102" si="67">IFERROR(ROUND(AVERAGE(H97:H101),2),"")</f>
        <v>3.8</v>
      </c>
      <c r="I102" s="22">
        <f t="shared" si="67"/>
        <v>0.31</v>
      </c>
      <c r="J102" s="23" t="str">
        <f t="shared" si="66"/>
        <v>Strongly Agree / Highly Satisfactory</v>
      </c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40"/>
      <c r="J103" s="39"/>
    </row>
    <row r="104" ht="15.75" customHeight="1">
      <c r="A104" s="41" t="s">
        <v>17</v>
      </c>
      <c r="B104" s="42"/>
      <c r="C104" s="42"/>
      <c r="D104" s="42"/>
      <c r="E104" s="42"/>
      <c r="F104" s="42"/>
      <c r="G104" s="42"/>
      <c r="H104" s="42"/>
      <c r="I104" s="42"/>
      <c r="J104" s="43"/>
    </row>
    <row r="105" ht="15.75" customHeight="1">
      <c r="A105" s="37" t="s">
        <v>79</v>
      </c>
      <c r="B105" s="13">
        <v>4.0</v>
      </c>
      <c r="C105" s="13">
        <v>1.0</v>
      </c>
      <c r="D105" s="13">
        <v>0.0</v>
      </c>
      <c r="E105" s="13">
        <v>0.0</v>
      </c>
      <c r="F105" s="14">
        <f t="shared" ref="F105:F109" si="68">SUM(B105:E105)</f>
        <v>5</v>
      </c>
      <c r="G105" s="14">
        <f t="shared" ref="G105:G109" si="69">4*B105+3*C105+2*D105+1*E105</f>
        <v>19</v>
      </c>
      <c r="H105" s="15">
        <f t="shared" ref="H105:H109" si="70">IF(F105=0,"",ROUND(G105/F105,2))</f>
        <v>3.8</v>
      </c>
      <c r="I105" s="16">
        <f t="shared" ref="I105:I109" si="71">IFERROR(IF(F105&lt;=1,"",ROUND(SQRT((B105*(4-H105)^2+C105*(3-H105)^2+D105*(2-H105)^2+E105*(1-H105)^2)/(F105-1)),2)),"")</f>
        <v>0.45</v>
      </c>
      <c r="J105" s="17" t="str">
        <f t="shared" ref="J105:J110" si="72">IF(H105="","",IF(H105&gt;=3.26,"Strongly Agree / Highly Satisfactory",IF(H105&gt;=2.51,"Agree / Satisfactory",IF(H105&gt;=1.76,"Disagree / Unsatisfactory","Strongly Disagree / Highly Unsatisfactory"))))</f>
        <v>Strongly Agree / Highly Satisfactory</v>
      </c>
    </row>
    <row r="106" ht="15.75" customHeight="1">
      <c r="A106" s="37" t="s">
        <v>80</v>
      </c>
      <c r="B106" s="13">
        <v>5.0</v>
      </c>
      <c r="C106" s="13">
        <v>0.0</v>
      </c>
      <c r="D106" s="13">
        <v>0.0</v>
      </c>
      <c r="E106" s="13">
        <v>0.0</v>
      </c>
      <c r="F106" s="14">
        <f t="shared" si="68"/>
        <v>5</v>
      </c>
      <c r="G106" s="14">
        <f t="shared" si="69"/>
        <v>20</v>
      </c>
      <c r="H106" s="15">
        <f t="shared" si="70"/>
        <v>4</v>
      </c>
      <c r="I106" s="16">
        <f t="shared" si="71"/>
        <v>0</v>
      </c>
      <c r="J106" s="17" t="str">
        <f t="shared" si="72"/>
        <v>Strongly Agree / Highly Satisfactory</v>
      </c>
    </row>
    <row r="107" ht="15.75" customHeight="1">
      <c r="A107" s="37" t="s">
        <v>81</v>
      </c>
      <c r="B107" s="13">
        <v>3.0</v>
      </c>
      <c r="C107" s="13">
        <v>2.0</v>
      </c>
      <c r="D107" s="13">
        <v>0.0</v>
      </c>
      <c r="E107" s="13">
        <v>0.0</v>
      </c>
      <c r="F107" s="14">
        <f t="shared" si="68"/>
        <v>5</v>
      </c>
      <c r="G107" s="14">
        <f t="shared" si="69"/>
        <v>18</v>
      </c>
      <c r="H107" s="15">
        <f t="shared" si="70"/>
        <v>3.6</v>
      </c>
      <c r="I107" s="16">
        <f t="shared" si="71"/>
        <v>0.55</v>
      </c>
      <c r="J107" s="17" t="str">
        <f t="shared" si="72"/>
        <v>Strongly Agree / Highly Satisfactory</v>
      </c>
    </row>
    <row r="108" ht="15.75" customHeight="1">
      <c r="A108" s="37" t="s">
        <v>82</v>
      </c>
      <c r="B108" s="13">
        <v>3.0</v>
      </c>
      <c r="C108" s="13">
        <v>1.0</v>
      </c>
      <c r="D108" s="13">
        <v>1.0</v>
      </c>
      <c r="E108" s="13">
        <v>0.0</v>
      </c>
      <c r="F108" s="14">
        <f t="shared" si="68"/>
        <v>5</v>
      </c>
      <c r="G108" s="14">
        <f t="shared" si="69"/>
        <v>17</v>
      </c>
      <c r="H108" s="15">
        <f t="shared" si="70"/>
        <v>3.4</v>
      </c>
      <c r="I108" s="16">
        <f t="shared" si="71"/>
        <v>0.89</v>
      </c>
      <c r="J108" s="17" t="str">
        <f t="shared" si="72"/>
        <v>Strongly Agree / Highly Satisfactory</v>
      </c>
    </row>
    <row r="109" ht="15.75" customHeight="1">
      <c r="A109" s="37" t="s">
        <v>83</v>
      </c>
      <c r="B109" s="13">
        <v>3.0</v>
      </c>
      <c r="C109" s="13">
        <v>2.0</v>
      </c>
      <c r="D109" s="13">
        <v>0.0</v>
      </c>
      <c r="E109" s="13">
        <v>0.0</v>
      </c>
      <c r="F109" s="14">
        <f t="shared" si="68"/>
        <v>5</v>
      </c>
      <c r="G109" s="14">
        <f t="shared" si="69"/>
        <v>18</v>
      </c>
      <c r="H109" s="15">
        <f t="shared" si="70"/>
        <v>3.6</v>
      </c>
      <c r="I109" s="16">
        <f t="shared" si="71"/>
        <v>0.55</v>
      </c>
      <c r="J109" s="17" t="str">
        <f t="shared" si="72"/>
        <v>Strongly Agree / Highly Satisfactory</v>
      </c>
    </row>
    <row r="110" ht="15.75" customHeight="1">
      <c r="A110" s="44" t="s">
        <v>29</v>
      </c>
      <c r="B110" s="20"/>
      <c r="C110" s="20"/>
      <c r="D110" s="20"/>
      <c r="E110" s="20"/>
      <c r="F110" s="20"/>
      <c r="G110" s="20"/>
      <c r="H110" s="21">
        <f t="shared" ref="H110:I110" si="73">IFERROR(ROUND(AVERAGE(H105:H109),2),"")</f>
        <v>3.68</v>
      </c>
      <c r="I110" s="22">
        <f t="shared" si="73"/>
        <v>0.49</v>
      </c>
      <c r="J110" s="23" t="str">
        <f t="shared" si="72"/>
        <v>Strongly Agree / Highly Satisfactory</v>
      </c>
    </row>
    <row r="111" ht="15.75" customHeight="1">
      <c r="A111" s="47"/>
      <c r="B111" s="48"/>
      <c r="C111" s="48"/>
      <c r="D111" s="48"/>
      <c r="E111" s="48"/>
      <c r="F111" s="48"/>
      <c r="G111" s="48"/>
      <c r="H111" s="48"/>
      <c r="I111" s="49"/>
      <c r="J111" s="48"/>
    </row>
    <row r="112" ht="15.75" customHeight="1">
      <c r="A112" s="50" t="s">
        <v>84</v>
      </c>
      <c r="B112" s="42"/>
      <c r="C112" s="42"/>
      <c r="D112" s="42"/>
      <c r="E112" s="42"/>
      <c r="F112" s="42"/>
      <c r="G112" s="42"/>
      <c r="H112" s="42"/>
      <c r="I112" s="42"/>
      <c r="J112" s="43"/>
    </row>
    <row r="113" ht="15.75" customHeight="1">
      <c r="A113" s="37" t="s">
        <v>85</v>
      </c>
      <c r="B113" s="13">
        <v>5.0</v>
      </c>
      <c r="C113" s="13">
        <v>0.0</v>
      </c>
      <c r="D113" s="13">
        <v>0.0</v>
      </c>
      <c r="E113" s="13">
        <v>0.0</v>
      </c>
      <c r="F113" s="14">
        <f t="shared" ref="F113:F116" si="74">SUM(B113:E113)</f>
        <v>5</v>
      </c>
      <c r="G113" s="14">
        <f t="shared" ref="G113:G116" si="75">4*B113+3*C113+2*D113+1*E113</f>
        <v>20</v>
      </c>
      <c r="H113" s="15">
        <f t="shared" ref="H113:H116" si="76">IF(F113=0,"",ROUND(G113/F113,2))</f>
        <v>4</v>
      </c>
      <c r="I113" s="16">
        <f t="shared" ref="I113:I116" si="77">IFERROR(IF(F113&lt;=1,"",ROUND(SQRT((B113*(4-H113)^2+C113*(3-H113)^2+D113*(2-H113)^2+E113*(1-H113)^2)/(F113-1)),2)),"")</f>
        <v>0</v>
      </c>
      <c r="J113" s="17" t="str">
        <f t="shared" ref="J113:J117" si="78">IF(H113="","",IF(H113&gt;=3.26,"Strongly Agree / Highly Satisfactory",IF(H113&gt;=2.51,"Agree / Satisfactory",IF(H113&gt;=1.76,"Disagree / Unsatisfactory","Strongly Disagree / Highly Unsatisfactory"))))</f>
        <v>Strongly Agree / Highly Satisfactory</v>
      </c>
    </row>
    <row r="114" ht="15.75" customHeight="1">
      <c r="A114" s="37" t="s">
        <v>86</v>
      </c>
      <c r="B114" s="13">
        <v>3.0</v>
      </c>
      <c r="C114" s="13">
        <v>2.0</v>
      </c>
      <c r="D114" s="13">
        <v>0.0</v>
      </c>
      <c r="E114" s="13">
        <v>0.0</v>
      </c>
      <c r="F114" s="14">
        <f t="shared" si="74"/>
        <v>5</v>
      </c>
      <c r="G114" s="14">
        <f t="shared" si="75"/>
        <v>18</v>
      </c>
      <c r="H114" s="15">
        <f t="shared" si="76"/>
        <v>3.6</v>
      </c>
      <c r="I114" s="16">
        <f t="shared" si="77"/>
        <v>0.55</v>
      </c>
      <c r="J114" s="17" t="str">
        <f t="shared" si="78"/>
        <v>Strongly Agree / Highly Satisfactory</v>
      </c>
    </row>
    <row r="115" ht="15.75" customHeight="1">
      <c r="A115" s="37" t="s">
        <v>87</v>
      </c>
      <c r="B115" s="13">
        <v>4.0</v>
      </c>
      <c r="C115" s="13">
        <v>1.0</v>
      </c>
      <c r="D115" s="13">
        <v>0.0</v>
      </c>
      <c r="E115" s="13">
        <v>0.0</v>
      </c>
      <c r="F115" s="14">
        <f t="shared" si="74"/>
        <v>5</v>
      </c>
      <c r="G115" s="14">
        <f t="shared" si="75"/>
        <v>19</v>
      </c>
      <c r="H115" s="15">
        <f t="shared" si="76"/>
        <v>3.8</v>
      </c>
      <c r="I115" s="16">
        <f t="shared" si="77"/>
        <v>0.45</v>
      </c>
      <c r="J115" s="17" t="str">
        <f t="shared" si="78"/>
        <v>Strongly Agree / Highly Satisfactory</v>
      </c>
    </row>
    <row r="116" ht="15.75" customHeight="1">
      <c r="A116" s="37" t="s">
        <v>88</v>
      </c>
      <c r="B116" s="13">
        <v>3.0</v>
      </c>
      <c r="C116" s="13">
        <v>2.0</v>
      </c>
      <c r="D116" s="13">
        <v>0.0</v>
      </c>
      <c r="E116" s="13">
        <v>0.0</v>
      </c>
      <c r="F116" s="14">
        <f t="shared" si="74"/>
        <v>5</v>
      </c>
      <c r="G116" s="14">
        <f t="shared" si="75"/>
        <v>18</v>
      </c>
      <c r="H116" s="15">
        <f t="shared" si="76"/>
        <v>3.6</v>
      </c>
      <c r="I116" s="16">
        <f t="shared" si="77"/>
        <v>0.55</v>
      </c>
      <c r="J116" s="17" t="str">
        <f t="shared" si="78"/>
        <v>Strongly Agree / Highly Satisfactory</v>
      </c>
    </row>
    <row r="117" ht="15.75" customHeight="1">
      <c r="A117" s="44" t="s">
        <v>29</v>
      </c>
      <c r="B117" s="20"/>
      <c r="C117" s="20"/>
      <c r="D117" s="20"/>
      <c r="E117" s="20"/>
      <c r="F117" s="20"/>
      <c r="G117" s="20"/>
      <c r="H117" s="21">
        <f t="shared" ref="H117:I117" si="79">IFERROR(ROUND(AVERAGE(H113:H116),2),"")</f>
        <v>3.75</v>
      </c>
      <c r="I117" s="22">
        <f t="shared" si="79"/>
        <v>0.39</v>
      </c>
      <c r="J117" s="23" t="str">
        <f t="shared" si="78"/>
        <v>Strongly Agree / Highly Satisfactory</v>
      </c>
    </row>
    <row r="118" ht="15.75" customHeight="1">
      <c r="I118" s="24"/>
    </row>
    <row r="119" ht="15.75" customHeight="1">
      <c r="A119" s="50" t="s">
        <v>89</v>
      </c>
      <c r="B119" s="42"/>
      <c r="C119" s="42"/>
      <c r="D119" s="42"/>
      <c r="E119" s="42"/>
      <c r="F119" s="42"/>
      <c r="G119" s="42"/>
      <c r="H119" s="42"/>
      <c r="I119" s="42"/>
      <c r="J119" s="43"/>
    </row>
    <row r="120" ht="15.75" customHeight="1">
      <c r="A120" s="37" t="s">
        <v>90</v>
      </c>
      <c r="B120" s="13">
        <v>4.0</v>
      </c>
      <c r="C120" s="13">
        <v>1.0</v>
      </c>
      <c r="D120" s="13">
        <v>0.0</v>
      </c>
      <c r="E120" s="13">
        <v>0.0</v>
      </c>
      <c r="F120" s="14">
        <f t="shared" ref="F120:F124" si="80">SUM(B120:E120)</f>
        <v>5</v>
      </c>
      <c r="G120" s="14">
        <f t="shared" ref="G120:G124" si="81">4*B120+3*C120+2*D120+1*E120</f>
        <v>19</v>
      </c>
      <c r="H120" s="15">
        <f t="shared" ref="H120:H124" si="82">IF(F120=0,"",ROUND(G120/F120,2))</f>
        <v>3.8</v>
      </c>
      <c r="I120" s="16">
        <f t="shared" ref="I120:I124" si="83">IFERROR(IF(F120&lt;=1,"",ROUND(SQRT((B120*(4-H120)^2+C120*(3-H120)^2+D120*(2-H120)^2+E120*(1-H120)^2)/(F120-1)),2)),"")</f>
        <v>0.45</v>
      </c>
      <c r="J120" s="17" t="str">
        <f t="shared" ref="J120:J125" si="84">IF(H120="","",IF(H120&gt;=3.26,"Strongly Agree / Highly Satisfactory",IF(H120&gt;=2.51,"Agree / Satisfactory",IF(H120&gt;=1.76,"Disagree / Unsatisfactory","Strongly Disagree / Highly Unsatisfactory"))))</f>
        <v>Strongly Agree / Highly Satisfactory</v>
      </c>
    </row>
    <row r="121" ht="15.75" customHeight="1">
      <c r="A121" s="37" t="s">
        <v>91</v>
      </c>
      <c r="B121" s="13">
        <v>5.0</v>
      </c>
      <c r="C121" s="13">
        <v>0.0</v>
      </c>
      <c r="D121" s="13">
        <v>0.0</v>
      </c>
      <c r="E121" s="13">
        <v>0.0</v>
      </c>
      <c r="F121" s="14">
        <f t="shared" si="80"/>
        <v>5</v>
      </c>
      <c r="G121" s="14">
        <f t="shared" si="81"/>
        <v>20</v>
      </c>
      <c r="H121" s="15">
        <f t="shared" si="82"/>
        <v>4</v>
      </c>
      <c r="I121" s="16">
        <f t="shared" si="83"/>
        <v>0</v>
      </c>
      <c r="J121" s="17" t="str">
        <f t="shared" si="84"/>
        <v>Strongly Agree / Highly Satisfactory</v>
      </c>
    </row>
    <row r="122" ht="15.75" customHeight="1">
      <c r="A122" s="37" t="s">
        <v>92</v>
      </c>
      <c r="B122" s="13">
        <v>4.0</v>
      </c>
      <c r="C122" s="13">
        <v>1.0</v>
      </c>
      <c r="D122" s="13">
        <v>0.0</v>
      </c>
      <c r="E122" s="13">
        <v>0.0</v>
      </c>
      <c r="F122" s="14">
        <f t="shared" si="80"/>
        <v>5</v>
      </c>
      <c r="G122" s="14">
        <f t="shared" si="81"/>
        <v>19</v>
      </c>
      <c r="H122" s="15">
        <f t="shared" si="82"/>
        <v>3.8</v>
      </c>
      <c r="I122" s="16">
        <f t="shared" si="83"/>
        <v>0.45</v>
      </c>
      <c r="J122" s="17" t="str">
        <f t="shared" si="84"/>
        <v>Strongly Agree / Highly Satisfactory</v>
      </c>
    </row>
    <row r="123" ht="15.75" customHeight="1">
      <c r="A123" s="37" t="s">
        <v>93</v>
      </c>
      <c r="B123" s="13">
        <v>4.0</v>
      </c>
      <c r="C123" s="13">
        <v>1.0</v>
      </c>
      <c r="D123" s="13">
        <v>0.0</v>
      </c>
      <c r="E123" s="13">
        <v>0.0</v>
      </c>
      <c r="F123" s="14">
        <f t="shared" si="80"/>
        <v>5</v>
      </c>
      <c r="G123" s="14">
        <f t="shared" si="81"/>
        <v>19</v>
      </c>
      <c r="H123" s="15">
        <f t="shared" si="82"/>
        <v>3.8</v>
      </c>
      <c r="I123" s="16">
        <f t="shared" si="83"/>
        <v>0.45</v>
      </c>
      <c r="J123" s="17" t="str">
        <f t="shared" si="84"/>
        <v>Strongly Agree / Highly Satisfactory</v>
      </c>
    </row>
    <row r="124" ht="15.75" customHeight="1">
      <c r="A124" s="37" t="s">
        <v>94</v>
      </c>
      <c r="B124" s="13">
        <v>5.0</v>
      </c>
      <c r="C124" s="13">
        <v>0.0</v>
      </c>
      <c r="D124" s="13">
        <v>0.0</v>
      </c>
      <c r="E124" s="13">
        <v>0.0</v>
      </c>
      <c r="F124" s="14">
        <f t="shared" si="80"/>
        <v>5</v>
      </c>
      <c r="G124" s="14">
        <f t="shared" si="81"/>
        <v>20</v>
      </c>
      <c r="H124" s="15">
        <f t="shared" si="82"/>
        <v>4</v>
      </c>
      <c r="I124" s="16">
        <f t="shared" si="83"/>
        <v>0</v>
      </c>
      <c r="J124" s="17" t="str">
        <f t="shared" si="84"/>
        <v>Strongly Agree / Highly Satisfactory</v>
      </c>
    </row>
    <row r="125" ht="15.75" customHeight="1">
      <c r="A125" s="44" t="s">
        <v>29</v>
      </c>
      <c r="B125" s="20"/>
      <c r="C125" s="20"/>
      <c r="D125" s="20"/>
      <c r="E125" s="20"/>
      <c r="F125" s="20"/>
      <c r="G125" s="20"/>
      <c r="H125" s="21">
        <f t="shared" ref="H125:I125" si="85">IFERROR(ROUND(AVERAGE(H120:H124),2),"")</f>
        <v>3.88</v>
      </c>
      <c r="I125" s="22">
        <f t="shared" si="85"/>
        <v>0.27</v>
      </c>
      <c r="J125" s="23" t="str">
        <f t="shared" si="84"/>
        <v>Strongly Agree / Highly Satisfactory</v>
      </c>
    </row>
    <row r="126" ht="15.75" customHeight="1">
      <c r="I126" s="24"/>
    </row>
    <row r="127" ht="15.75" customHeight="1">
      <c r="A127" s="50" t="s">
        <v>95</v>
      </c>
      <c r="B127" s="42"/>
      <c r="C127" s="42"/>
      <c r="D127" s="42"/>
      <c r="E127" s="42"/>
      <c r="F127" s="42"/>
      <c r="G127" s="42"/>
      <c r="H127" s="42"/>
      <c r="I127" s="42"/>
      <c r="J127" s="43"/>
    </row>
    <row r="128" ht="15.75" customHeight="1">
      <c r="A128" s="37" t="s">
        <v>96</v>
      </c>
      <c r="B128" s="13">
        <v>4.0</v>
      </c>
      <c r="C128" s="13">
        <v>1.0</v>
      </c>
      <c r="D128" s="13">
        <v>0.0</v>
      </c>
      <c r="E128" s="13">
        <v>0.0</v>
      </c>
      <c r="F128" s="14">
        <f t="shared" ref="F128:F132" si="86">SUM(B128:E128)</f>
        <v>5</v>
      </c>
      <c r="G128" s="14">
        <f t="shared" ref="G128:G132" si="87">4*B128+3*C128+2*D128+1*E128</f>
        <v>19</v>
      </c>
      <c r="H128" s="15">
        <f t="shared" ref="H128:H132" si="88">IF(F128=0,"",ROUND(G128/F128,2))</f>
        <v>3.8</v>
      </c>
      <c r="I128" s="16">
        <f t="shared" ref="I128:I132" si="89">IFERROR(IF(F128&lt;=1,"",ROUND(SQRT((B128*(4-H128)^2+C128*(3-H128)^2+D128*(2-H128)^2+E128*(1-H128)^2)/(F128-1)),2)),"")</f>
        <v>0.45</v>
      </c>
      <c r="J128" s="17" t="str">
        <f t="shared" ref="J128:J133" si="90">IF(H128="","",IF(H128&gt;=3.26,"Strongly Agree / Highly Satisfactory",IF(H128&gt;=2.51,"Agree / Satisfactory",IF(H128&gt;=1.76,"Disagree / Unsatisfactory","Strongly Disagree / Highly Unsatisfactory"))))</f>
        <v>Strongly Agree / Highly Satisfactory</v>
      </c>
    </row>
    <row r="129" ht="15.75" customHeight="1">
      <c r="A129" s="37" t="s">
        <v>97</v>
      </c>
      <c r="B129" s="13">
        <v>3.0</v>
      </c>
      <c r="C129" s="13">
        <v>2.0</v>
      </c>
      <c r="D129" s="13">
        <v>0.0</v>
      </c>
      <c r="E129" s="13">
        <v>0.0</v>
      </c>
      <c r="F129" s="14">
        <f t="shared" si="86"/>
        <v>5</v>
      </c>
      <c r="G129" s="14">
        <f t="shared" si="87"/>
        <v>18</v>
      </c>
      <c r="H129" s="15">
        <f t="shared" si="88"/>
        <v>3.6</v>
      </c>
      <c r="I129" s="16">
        <f t="shared" si="89"/>
        <v>0.55</v>
      </c>
      <c r="J129" s="17" t="str">
        <f t="shared" si="90"/>
        <v>Strongly Agree / Highly Satisfactory</v>
      </c>
    </row>
    <row r="130" ht="15.75" customHeight="1">
      <c r="A130" s="37" t="s">
        <v>98</v>
      </c>
      <c r="B130" s="13">
        <v>3.0</v>
      </c>
      <c r="C130" s="13">
        <v>2.0</v>
      </c>
      <c r="D130" s="13">
        <v>0.0</v>
      </c>
      <c r="E130" s="13">
        <v>0.0</v>
      </c>
      <c r="F130" s="14">
        <f t="shared" si="86"/>
        <v>5</v>
      </c>
      <c r="G130" s="14">
        <f t="shared" si="87"/>
        <v>18</v>
      </c>
      <c r="H130" s="15">
        <f t="shared" si="88"/>
        <v>3.6</v>
      </c>
      <c r="I130" s="16">
        <f t="shared" si="89"/>
        <v>0.55</v>
      </c>
      <c r="J130" s="17" t="str">
        <f t="shared" si="90"/>
        <v>Strongly Agree / Highly Satisfactory</v>
      </c>
    </row>
    <row r="131" ht="15.75" customHeight="1">
      <c r="A131" s="37" t="s">
        <v>99</v>
      </c>
      <c r="B131" s="13">
        <v>5.0</v>
      </c>
      <c r="C131" s="13">
        <v>0.0</v>
      </c>
      <c r="D131" s="13">
        <v>0.0</v>
      </c>
      <c r="E131" s="13">
        <v>0.0</v>
      </c>
      <c r="F131" s="14">
        <f t="shared" si="86"/>
        <v>5</v>
      </c>
      <c r="G131" s="14">
        <f t="shared" si="87"/>
        <v>20</v>
      </c>
      <c r="H131" s="15">
        <f t="shared" si="88"/>
        <v>4</v>
      </c>
      <c r="I131" s="16">
        <f t="shared" si="89"/>
        <v>0</v>
      </c>
      <c r="J131" s="17" t="str">
        <f t="shared" si="90"/>
        <v>Strongly Agree / Highly Satisfactory</v>
      </c>
    </row>
    <row r="132" ht="15.75" customHeight="1">
      <c r="A132" s="37" t="s">
        <v>100</v>
      </c>
      <c r="B132" s="13">
        <v>4.0</v>
      </c>
      <c r="C132" s="13">
        <v>1.0</v>
      </c>
      <c r="D132" s="13">
        <v>0.0</v>
      </c>
      <c r="E132" s="13">
        <v>0.0</v>
      </c>
      <c r="F132" s="14">
        <f t="shared" si="86"/>
        <v>5</v>
      </c>
      <c r="G132" s="14">
        <f t="shared" si="87"/>
        <v>19</v>
      </c>
      <c r="H132" s="15">
        <f t="shared" si="88"/>
        <v>3.8</v>
      </c>
      <c r="I132" s="16">
        <f t="shared" si="89"/>
        <v>0.45</v>
      </c>
      <c r="J132" s="17" t="str">
        <f t="shared" si="90"/>
        <v>Strongly Agree / Highly Satisfactory</v>
      </c>
    </row>
    <row r="133" ht="15.75" customHeight="1">
      <c r="A133" s="44" t="s">
        <v>29</v>
      </c>
      <c r="B133" s="20"/>
      <c r="C133" s="20"/>
      <c r="D133" s="20"/>
      <c r="E133" s="20"/>
      <c r="F133" s="20"/>
      <c r="G133" s="20"/>
      <c r="H133" s="21">
        <f t="shared" ref="H133:I133" si="91">IFERROR(ROUND(AVERAGE(H128:H132),2),"")</f>
        <v>3.76</v>
      </c>
      <c r="I133" s="22">
        <f t="shared" si="91"/>
        <v>0.4</v>
      </c>
      <c r="J133" s="23" t="str">
        <f t="shared" si="90"/>
        <v>Strongly Agree / Highly Satisfactory</v>
      </c>
    </row>
    <row r="134" ht="15.75" customHeight="1">
      <c r="I134" s="24"/>
    </row>
    <row r="135" ht="15.75" customHeight="1">
      <c r="A135" s="50" t="s">
        <v>101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ht="15.75" customHeight="1">
      <c r="A136" s="37" t="s">
        <v>102</v>
      </c>
      <c r="B136" s="13">
        <v>5.0</v>
      </c>
      <c r="C136" s="13">
        <v>0.0</v>
      </c>
      <c r="D136" s="13">
        <v>0.0</v>
      </c>
      <c r="E136" s="13">
        <v>0.0</v>
      </c>
      <c r="F136" s="14">
        <f t="shared" ref="F136:F140" si="92">SUM(B136:E136)</f>
        <v>5</v>
      </c>
      <c r="G136" s="14">
        <f t="shared" ref="G136:G140" si="93">4*B136+3*C136+2*D136+1*E136</f>
        <v>20</v>
      </c>
      <c r="H136" s="15">
        <f t="shared" ref="H136:H140" si="94">IF(F136=0,"",ROUND(G136/F136,2))</f>
        <v>4</v>
      </c>
      <c r="I136" s="16">
        <f t="shared" ref="I136:I140" si="95">IFERROR(IF(F136&lt;=1,"",ROUND(SQRT((B136*(4-H136)^2+C136*(3-H136)^2+D136*(2-H136)^2+E136*(1-H136)^2)/(F136-1)),2)),"")</f>
        <v>0</v>
      </c>
      <c r="J136" s="17" t="str">
        <f t="shared" ref="J136:J141" si="96">IF(H136="","",IF(H136&gt;=3.26,"Strongly Agree / Highly Satisfactory",IF(H136&gt;=2.51,"Agree / Satisfactory",IF(H136&gt;=1.76,"Disagree / Unsatisfactory","Strongly Disagree / Highly Unsatisfactory"))))</f>
        <v>Strongly Agree / Highly Satisfactory</v>
      </c>
    </row>
    <row r="137" ht="15.75" customHeight="1">
      <c r="A137" s="37" t="s">
        <v>103</v>
      </c>
      <c r="B137" s="13">
        <v>5.0</v>
      </c>
      <c r="C137" s="13">
        <v>0.0</v>
      </c>
      <c r="D137" s="13">
        <v>0.0</v>
      </c>
      <c r="E137" s="13">
        <v>0.0</v>
      </c>
      <c r="F137" s="14">
        <f t="shared" si="92"/>
        <v>5</v>
      </c>
      <c r="G137" s="14">
        <f t="shared" si="93"/>
        <v>20</v>
      </c>
      <c r="H137" s="15">
        <f t="shared" si="94"/>
        <v>4</v>
      </c>
      <c r="I137" s="16">
        <f t="shared" si="95"/>
        <v>0</v>
      </c>
      <c r="J137" s="17" t="str">
        <f t="shared" si="96"/>
        <v>Strongly Agree / Highly Satisfactory</v>
      </c>
    </row>
    <row r="138" ht="15.75" customHeight="1">
      <c r="A138" s="37" t="s">
        <v>104</v>
      </c>
      <c r="B138" s="13">
        <v>4.0</v>
      </c>
      <c r="C138" s="13">
        <v>1.0</v>
      </c>
      <c r="D138" s="13">
        <v>0.0</v>
      </c>
      <c r="E138" s="13">
        <v>0.0</v>
      </c>
      <c r="F138" s="14">
        <f t="shared" si="92"/>
        <v>5</v>
      </c>
      <c r="G138" s="14">
        <f t="shared" si="93"/>
        <v>19</v>
      </c>
      <c r="H138" s="15">
        <f t="shared" si="94"/>
        <v>3.8</v>
      </c>
      <c r="I138" s="16">
        <f t="shared" si="95"/>
        <v>0.45</v>
      </c>
      <c r="J138" s="17" t="str">
        <f t="shared" si="96"/>
        <v>Strongly Agree / Highly Satisfactory</v>
      </c>
    </row>
    <row r="139" ht="15.75" customHeight="1">
      <c r="A139" s="37" t="s">
        <v>105</v>
      </c>
      <c r="B139" s="13">
        <v>3.0</v>
      </c>
      <c r="C139" s="13">
        <v>2.0</v>
      </c>
      <c r="D139" s="13">
        <v>0.0</v>
      </c>
      <c r="E139" s="13">
        <v>0.0</v>
      </c>
      <c r="F139" s="14">
        <f t="shared" si="92"/>
        <v>5</v>
      </c>
      <c r="G139" s="14">
        <f t="shared" si="93"/>
        <v>18</v>
      </c>
      <c r="H139" s="15">
        <f t="shared" si="94"/>
        <v>3.6</v>
      </c>
      <c r="I139" s="16">
        <f t="shared" si="95"/>
        <v>0.55</v>
      </c>
      <c r="J139" s="17" t="str">
        <f t="shared" si="96"/>
        <v>Strongly Agree / Highly Satisfactory</v>
      </c>
    </row>
    <row r="140" ht="15.75" customHeight="1">
      <c r="A140" s="37" t="s">
        <v>106</v>
      </c>
      <c r="B140" s="13">
        <v>4.0</v>
      </c>
      <c r="C140" s="13">
        <v>1.0</v>
      </c>
      <c r="D140" s="13">
        <v>0.0</v>
      </c>
      <c r="E140" s="13">
        <v>0.0</v>
      </c>
      <c r="F140" s="14">
        <f t="shared" si="92"/>
        <v>5</v>
      </c>
      <c r="G140" s="14">
        <f t="shared" si="93"/>
        <v>19</v>
      </c>
      <c r="H140" s="15">
        <f t="shared" si="94"/>
        <v>3.8</v>
      </c>
      <c r="I140" s="16">
        <f t="shared" si="95"/>
        <v>0.45</v>
      </c>
      <c r="J140" s="17" t="str">
        <f t="shared" si="96"/>
        <v>Strongly Agree / Highly Satisfactory</v>
      </c>
    </row>
    <row r="141" ht="15.75" customHeight="1">
      <c r="A141" s="44" t="s">
        <v>29</v>
      </c>
      <c r="B141" s="20"/>
      <c r="C141" s="20"/>
      <c r="D141" s="20"/>
      <c r="E141" s="20"/>
      <c r="F141" s="20"/>
      <c r="G141" s="20"/>
      <c r="H141" s="21">
        <f t="shared" ref="H141:I141" si="97">IFERROR(ROUND(AVERAGE(H136:H140),2),"")</f>
        <v>3.84</v>
      </c>
      <c r="I141" s="22">
        <f t="shared" si="97"/>
        <v>0.29</v>
      </c>
      <c r="J141" s="23" t="str">
        <f t="shared" si="96"/>
        <v>Strongly Agree / Highly Satisfactory</v>
      </c>
    </row>
    <row r="142" ht="15.75" customHeight="1">
      <c r="I142" s="24"/>
    </row>
    <row r="143" ht="18.75" customHeight="1">
      <c r="A143" s="50" t="s">
        <v>107</v>
      </c>
      <c r="B143" s="42"/>
      <c r="C143" s="42"/>
      <c r="D143" s="42"/>
      <c r="E143" s="42"/>
      <c r="F143" s="42"/>
      <c r="G143" s="42"/>
      <c r="H143" s="42"/>
      <c r="I143" s="42"/>
      <c r="J143" s="43"/>
    </row>
    <row r="144" ht="15.75" customHeight="1">
      <c r="A144" s="37" t="s">
        <v>108</v>
      </c>
      <c r="B144" s="13">
        <v>3.0</v>
      </c>
      <c r="C144" s="13">
        <v>2.0</v>
      </c>
      <c r="D144" s="13">
        <v>0.0</v>
      </c>
      <c r="E144" s="13">
        <v>0.0</v>
      </c>
      <c r="F144" s="14">
        <f t="shared" ref="F144:F148" si="98">SUM(B144:E144)</f>
        <v>5</v>
      </c>
      <c r="G144" s="14">
        <f t="shared" ref="G144:G148" si="99">4*B144+3*C144+2*D144+1*E144</f>
        <v>18</v>
      </c>
      <c r="H144" s="15">
        <f t="shared" ref="H144:H148" si="100">IF(F144=0,"",ROUND(G144/F144,2))</f>
        <v>3.6</v>
      </c>
      <c r="I144" s="16">
        <f t="shared" ref="I144:I148" si="101">IFERROR(IF(F144&lt;=1,"",ROUND(SQRT((B144*(4-H144)^2+C144*(3-H144)^2+D144*(2-H144)^2+E144*(1-H144)^2)/(F144-1)),2)),"")</f>
        <v>0.55</v>
      </c>
      <c r="J144" s="17" t="str">
        <f t="shared" ref="J144:J149" si="102">IF(H144="","",IF(H144&gt;=3.26,"Strongly Agree / Highly Satisfactory",IF(H144&gt;=2.51,"Agree / Satisfactory",IF(H144&gt;=1.76,"Disagree / Unsatisfactory","Strongly Disagree / Highly Unsatisfactory"))))</f>
        <v>Strongly Agree / Highly Satisfactory</v>
      </c>
    </row>
    <row r="145" ht="15.75" customHeight="1">
      <c r="A145" s="37" t="s">
        <v>109</v>
      </c>
      <c r="B145" s="13">
        <v>5.0</v>
      </c>
      <c r="C145" s="13">
        <v>0.0</v>
      </c>
      <c r="D145" s="13">
        <v>0.0</v>
      </c>
      <c r="E145" s="13">
        <v>0.0</v>
      </c>
      <c r="F145" s="14">
        <f t="shared" si="98"/>
        <v>5</v>
      </c>
      <c r="G145" s="14">
        <f t="shared" si="99"/>
        <v>20</v>
      </c>
      <c r="H145" s="15">
        <f t="shared" si="100"/>
        <v>4</v>
      </c>
      <c r="I145" s="16">
        <f t="shared" si="101"/>
        <v>0</v>
      </c>
      <c r="J145" s="17" t="str">
        <f t="shared" si="102"/>
        <v>Strongly Agree / Highly Satisfactory</v>
      </c>
    </row>
    <row r="146" ht="15.75" customHeight="1">
      <c r="A146" s="37" t="s">
        <v>110</v>
      </c>
      <c r="B146" s="13">
        <v>5.0</v>
      </c>
      <c r="C146" s="13">
        <v>0.0</v>
      </c>
      <c r="D146" s="13">
        <v>0.0</v>
      </c>
      <c r="E146" s="13">
        <v>0.0</v>
      </c>
      <c r="F146" s="14">
        <f t="shared" si="98"/>
        <v>5</v>
      </c>
      <c r="G146" s="14">
        <f t="shared" si="99"/>
        <v>20</v>
      </c>
      <c r="H146" s="15">
        <f t="shared" si="100"/>
        <v>4</v>
      </c>
      <c r="I146" s="16">
        <f t="shared" si="101"/>
        <v>0</v>
      </c>
      <c r="J146" s="17" t="str">
        <f t="shared" si="102"/>
        <v>Strongly Agree / Highly Satisfactory</v>
      </c>
    </row>
    <row r="147" ht="15.75" customHeight="1">
      <c r="A147" s="37" t="s">
        <v>111</v>
      </c>
      <c r="B147" s="13">
        <v>5.0</v>
      </c>
      <c r="C147" s="13">
        <v>0.0</v>
      </c>
      <c r="D147" s="13">
        <v>0.0</v>
      </c>
      <c r="E147" s="13">
        <v>0.0</v>
      </c>
      <c r="F147" s="14">
        <f t="shared" si="98"/>
        <v>5</v>
      </c>
      <c r="G147" s="14">
        <f t="shared" si="99"/>
        <v>20</v>
      </c>
      <c r="H147" s="15">
        <f t="shared" si="100"/>
        <v>4</v>
      </c>
      <c r="I147" s="16">
        <f t="shared" si="101"/>
        <v>0</v>
      </c>
      <c r="J147" s="17" t="str">
        <f t="shared" si="102"/>
        <v>Strongly Agree / Highly Satisfactory</v>
      </c>
    </row>
    <row r="148" ht="15.75" customHeight="1">
      <c r="A148" s="37" t="s">
        <v>112</v>
      </c>
      <c r="B148" s="13">
        <v>4.0</v>
      </c>
      <c r="C148" s="13">
        <v>1.0</v>
      </c>
      <c r="D148" s="13">
        <v>0.0</v>
      </c>
      <c r="E148" s="13">
        <v>0.0</v>
      </c>
      <c r="F148" s="14">
        <f t="shared" si="98"/>
        <v>5</v>
      </c>
      <c r="G148" s="14">
        <f t="shared" si="99"/>
        <v>19</v>
      </c>
      <c r="H148" s="15">
        <f t="shared" si="100"/>
        <v>3.8</v>
      </c>
      <c r="I148" s="16">
        <f t="shared" si="101"/>
        <v>0.45</v>
      </c>
      <c r="J148" s="17" t="str">
        <f t="shared" si="102"/>
        <v>Strongly Agree / Highly Satisfactory</v>
      </c>
    </row>
    <row r="149" ht="15.75" customHeight="1">
      <c r="A149" s="44" t="s">
        <v>29</v>
      </c>
      <c r="B149" s="20"/>
      <c r="C149" s="20"/>
      <c r="D149" s="20"/>
      <c r="E149" s="20"/>
      <c r="F149" s="20"/>
      <c r="G149" s="20"/>
      <c r="H149" s="21">
        <f t="shared" ref="H149:I149" si="103">IFERROR(ROUND(AVERAGE(H144:H148),2),"")</f>
        <v>3.88</v>
      </c>
      <c r="I149" s="22">
        <f t="shared" si="103"/>
        <v>0.2</v>
      </c>
      <c r="J149" s="23" t="str">
        <f t="shared" si="102"/>
        <v>Strongly Agree / Highly Satisfactory</v>
      </c>
    </row>
    <row r="150" ht="15.75" customHeight="1">
      <c r="I150" s="24"/>
    </row>
    <row r="151" ht="18.75" customHeight="1">
      <c r="A151" s="50" t="s">
        <v>113</v>
      </c>
      <c r="B151" s="42"/>
      <c r="C151" s="42"/>
      <c r="D151" s="42"/>
      <c r="E151" s="42"/>
      <c r="F151" s="42"/>
      <c r="G151" s="42"/>
      <c r="H151" s="42"/>
      <c r="I151" s="42"/>
      <c r="J151" s="43"/>
    </row>
    <row r="152" ht="15.75" customHeight="1">
      <c r="A152" s="37" t="s">
        <v>114</v>
      </c>
      <c r="B152" s="13">
        <v>5.0</v>
      </c>
      <c r="C152" s="13">
        <v>0.0</v>
      </c>
      <c r="D152" s="13">
        <v>0.0</v>
      </c>
      <c r="E152" s="13">
        <v>0.0</v>
      </c>
      <c r="F152" s="14">
        <f t="shared" ref="F152:F156" si="104">SUM(B152:E152)</f>
        <v>5</v>
      </c>
      <c r="G152" s="14">
        <f t="shared" ref="G152:G156" si="105">4*B152+3*C152+2*D152+1*E152</f>
        <v>20</v>
      </c>
      <c r="H152" s="15">
        <f t="shared" ref="H152:H156" si="106">IF(F152=0,"",ROUND(G152/F152,2))</f>
        <v>4</v>
      </c>
      <c r="I152" s="16">
        <f t="shared" ref="I152:I156" si="107">IFERROR(IF(F152&lt;=1,"",ROUND(SQRT((B152*(4-H152)^2+C152*(3-H152)^2+D152*(2-H152)^2+E152*(1-H152)^2)/(F152-1)),2)),"")</f>
        <v>0</v>
      </c>
      <c r="J152" s="17" t="str">
        <f t="shared" ref="J152:J157" si="108">IF(H152="","",IF(H152&gt;=3.26,"Strongly Agree / Highly Satisfactory",IF(H152&gt;=2.51,"Agree / Satisfactory",IF(H152&gt;=1.76,"Disagree / Unsatisfactory","Strongly Disagree / Highly Unsatisfactory"))))</f>
        <v>Strongly Agree / Highly Satisfactory</v>
      </c>
    </row>
    <row r="153" ht="15.75" customHeight="1">
      <c r="A153" s="37" t="s">
        <v>115</v>
      </c>
      <c r="B153" s="13">
        <v>5.0</v>
      </c>
      <c r="C153" s="13">
        <v>0.0</v>
      </c>
      <c r="D153" s="13">
        <v>0.0</v>
      </c>
      <c r="E153" s="13">
        <v>0.0</v>
      </c>
      <c r="F153" s="14">
        <f t="shared" si="104"/>
        <v>5</v>
      </c>
      <c r="G153" s="14">
        <f t="shared" si="105"/>
        <v>20</v>
      </c>
      <c r="H153" s="15">
        <f t="shared" si="106"/>
        <v>4</v>
      </c>
      <c r="I153" s="16">
        <f t="shared" si="107"/>
        <v>0</v>
      </c>
      <c r="J153" s="17" t="str">
        <f t="shared" si="108"/>
        <v>Strongly Agree / Highly Satisfactory</v>
      </c>
    </row>
    <row r="154" ht="15.75" customHeight="1">
      <c r="A154" s="37" t="s">
        <v>116</v>
      </c>
      <c r="B154" s="13">
        <v>5.0</v>
      </c>
      <c r="C154" s="13">
        <v>0.0</v>
      </c>
      <c r="D154" s="13">
        <v>0.0</v>
      </c>
      <c r="E154" s="13">
        <v>0.0</v>
      </c>
      <c r="F154" s="14">
        <f t="shared" si="104"/>
        <v>5</v>
      </c>
      <c r="G154" s="14">
        <f t="shared" si="105"/>
        <v>20</v>
      </c>
      <c r="H154" s="15">
        <f t="shared" si="106"/>
        <v>4</v>
      </c>
      <c r="I154" s="16">
        <f t="shared" si="107"/>
        <v>0</v>
      </c>
      <c r="J154" s="17" t="str">
        <f t="shared" si="108"/>
        <v>Strongly Agree / Highly Satisfactory</v>
      </c>
    </row>
    <row r="155" ht="15.75" customHeight="1">
      <c r="A155" s="37" t="s">
        <v>117</v>
      </c>
      <c r="B155" s="13">
        <v>4.0</v>
      </c>
      <c r="C155" s="13">
        <v>1.0</v>
      </c>
      <c r="D155" s="13">
        <v>0.0</v>
      </c>
      <c r="E155" s="13">
        <v>0.0</v>
      </c>
      <c r="F155" s="14">
        <f t="shared" si="104"/>
        <v>5</v>
      </c>
      <c r="G155" s="14">
        <f t="shared" si="105"/>
        <v>19</v>
      </c>
      <c r="H155" s="15">
        <f t="shared" si="106"/>
        <v>3.8</v>
      </c>
      <c r="I155" s="16">
        <f t="shared" si="107"/>
        <v>0.45</v>
      </c>
      <c r="J155" s="17" t="str">
        <f t="shared" si="108"/>
        <v>Strongly Agree / Highly Satisfactory</v>
      </c>
    </row>
    <row r="156" ht="15.75" customHeight="1">
      <c r="A156" s="37" t="s">
        <v>118</v>
      </c>
      <c r="B156" s="13">
        <v>4.0</v>
      </c>
      <c r="C156" s="13">
        <v>1.0</v>
      </c>
      <c r="D156" s="13">
        <v>0.0</v>
      </c>
      <c r="E156" s="13">
        <v>0.0</v>
      </c>
      <c r="F156" s="14">
        <f t="shared" si="104"/>
        <v>5</v>
      </c>
      <c r="G156" s="14">
        <f t="shared" si="105"/>
        <v>19</v>
      </c>
      <c r="H156" s="15">
        <f t="shared" si="106"/>
        <v>3.8</v>
      </c>
      <c r="I156" s="16">
        <f t="shared" si="107"/>
        <v>0.45</v>
      </c>
      <c r="J156" s="17" t="str">
        <f t="shared" si="108"/>
        <v>Strongly Agree / Highly Satisfactory</v>
      </c>
    </row>
    <row r="157" ht="15.75" customHeight="1">
      <c r="A157" s="44" t="s">
        <v>29</v>
      </c>
      <c r="B157" s="20"/>
      <c r="C157" s="20"/>
      <c r="D157" s="20"/>
      <c r="E157" s="20"/>
      <c r="F157" s="20"/>
      <c r="G157" s="20"/>
      <c r="H157" s="21">
        <f t="shared" ref="H157:I157" si="109">IFERROR(ROUND(AVERAGE(H152:H156),2),"")</f>
        <v>3.92</v>
      </c>
      <c r="I157" s="22">
        <f t="shared" si="109"/>
        <v>0.18</v>
      </c>
      <c r="J157" s="23" t="str">
        <f t="shared" si="108"/>
        <v>Strongly Agree / Highly Satisfactory</v>
      </c>
    </row>
    <row r="158" ht="15.75" customHeight="1">
      <c r="I158" s="24"/>
    </row>
    <row r="159" ht="15.75" customHeight="1">
      <c r="A159" s="25" t="s">
        <v>49</v>
      </c>
      <c r="B159" s="26"/>
      <c r="C159" s="26"/>
      <c r="D159" s="26"/>
      <c r="E159" s="26"/>
      <c r="F159" s="26"/>
      <c r="G159" s="26"/>
      <c r="H159" s="27">
        <f>IFERROR(ROUND(AVERAGE(H101,H109,H117,H125,H133),2),"")</f>
        <v>3.8</v>
      </c>
      <c r="I159" s="28">
        <f>IFERROR(ROUND(AVERAGE(I102,I110,I117,I125,I133,I141,I149,I157),2),"")</f>
        <v>0.32</v>
      </c>
      <c r="J159" s="29" t="str">
        <f>IF(H159="","",IF(H159&gt;=3.26,"Strongly Agree / Highly Satisfactory",IF(H159&gt;=2.51,"Agree / Satisfactory",IF(H159&gt;=1.76,"Disagree / Unsatisfactory","Strongly Disagree / Highly Unsatisfactory"))))</f>
        <v>Strongly Agree / Highly Satisfactory</v>
      </c>
    </row>
    <row r="160" ht="15.75" customHeight="1">
      <c r="I160" s="24"/>
    </row>
    <row r="161" ht="15.75" customHeight="1">
      <c r="I161" s="24"/>
    </row>
    <row r="162" ht="15.75" customHeight="1">
      <c r="I162" s="24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2"/>
      <c r="J163" s="51"/>
    </row>
    <row r="164" ht="15.75" customHeight="1">
      <c r="A164" s="53" t="s">
        <v>119</v>
      </c>
    </row>
    <row r="165" ht="15.75" customHeight="1">
      <c r="A165" s="54" t="s">
        <v>6</v>
      </c>
      <c r="B165" s="55"/>
      <c r="C165" s="55"/>
      <c r="D165" s="55"/>
      <c r="E165" s="55"/>
      <c r="F165" s="55"/>
      <c r="G165" s="55"/>
      <c r="H165" s="55"/>
      <c r="I165" s="55"/>
      <c r="J165" s="55"/>
    </row>
    <row r="166" ht="15.75" customHeight="1">
      <c r="A166" s="56" t="s">
        <v>5</v>
      </c>
      <c r="B166" s="57" t="s">
        <v>7</v>
      </c>
      <c r="C166" s="57" t="s">
        <v>8</v>
      </c>
      <c r="D166" s="57" t="s">
        <v>9</v>
      </c>
      <c r="E166" s="57" t="s">
        <v>10</v>
      </c>
      <c r="F166" s="57" t="s">
        <v>11</v>
      </c>
      <c r="G166" s="57" t="s">
        <v>12</v>
      </c>
      <c r="H166" s="57" t="s">
        <v>13</v>
      </c>
      <c r="I166" s="36" t="s">
        <v>18</v>
      </c>
      <c r="J166" s="57" t="s">
        <v>14</v>
      </c>
    </row>
    <row r="167" ht="15.75" customHeight="1">
      <c r="A167" s="58" t="s">
        <v>15</v>
      </c>
      <c r="B167" s="55"/>
      <c r="C167" s="55"/>
      <c r="D167" s="55"/>
      <c r="E167" s="55"/>
      <c r="F167" s="55"/>
      <c r="G167" s="55"/>
      <c r="H167" s="55"/>
      <c r="I167" s="55"/>
      <c r="J167" s="59"/>
    </row>
    <row r="168" ht="15.75" customHeight="1">
      <c r="A168" s="60" t="s">
        <v>120</v>
      </c>
      <c r="B168" s="61">
        <v>16</v>
      </c>
      <c r="C168" s="62">
        <v>15</v>
      </c>
      <c r="D168" s="61">
        <v>24</v>
      </c>
      <c r="E168" s="61">
        <v>15</v>
      </c>
      <c r="F168" s="63">
        <f t="shared" ref="F168:F172" si="110">SUM(B168:E168)</f>
        <v>70</v>
      </c>
      <c r="G168" s="63">
        <f t="shared" ref="G168:G172" si="111">4*B168+3*C168+2*D168+1*E168</f>
        <v>172</v>
      </c>
      <c r="H168" s="64">
        <f t="shared" ref="H168:H172" si="112">IF(F168=0,"",ROUND(G168/F168,2))</f>
        <v>2.46</v>
      </c>
      <c r="I168" s="65">
        <f t="shared" ref="I168:I172" si="113">IFERROR(IF(F168&lt;=1,"",ROUND(SQRT((B168*(4-H168)^2+C168*(3-H168)^2+D168*(2-H168)^2+E168*(1-H168)^2)/(F168-1)),2)),"")</f>
        <v>1.07</v>
      </c>
      <c r="J168" s="66" t="str">
        <f t="shared" ref="J168:J173" si="114">IF(H168="","",IF(H168&gt;=3.26,"Strongly Agree / Highly Satisfactory",IF(H168&gt;=2.51,"Agree / Satisfactory",IF(H168&gt;=1.76,"Disagree / Unsatisfactory","Strongly Disagree / Highly Unsatisfactory"))))</f>
        <v>Disagree / Unsatisfactory</v>
      </c>
    </row>
    <row r="169" ht="15.75" customHeight="1">
      <c r="A169" s="60" t="s">
        <v>121</v>
      </c>
      <c r="B169" s="61">
        <v>15</v>
      </c>
      <c r="C169" s="62">
        <v>19</v>
      </c>
      <c r="D169" s="61">
        <v>22</v>
      </c>
      <c r="E169" s="61">
        <v>14</v>
      </c>
      <c r="F169" s="63">
        <f t="shared" si="110"/>
        <v>70</v>
      </c>
      <c r="G169" s="63">
        <f t="shared" si="111"/>
        <v>175</v>
      </c>
      <c r="H169" s="64">
        <f t="shared" si="112"/>
        <v>2.5</v>
      </c>
      <c r="I169" s="65">
        <f t="shared" si="113"/>
        <v>1.05</v>
      </c>
      <c r="J169" s="66" t="str">
        <f t="shared" si="114"/>
        <v>Disagree / Unsatisfactory</v>
      </c>
    </row>
    <row r="170" ht="15.75" customHeight="1">
      <c r="A170" s="60" t="s">
        <v>122</v>
      </c>
      <c r="B170" s="61">
        <v>14</v>
      </c>
      <c r="C170" s="62">
        <v>23</v>
      </c>
      <c r="D170" s="61">
        <v>20</v>
      </c>
      <c r="E170" s="61">
        <v>13</v>
      </c>
      <c r="F170" s="63">
        <f t="shared" si="110"/>
        <v>70</v>
      </c>
      <c r="G170" s="63">
        <f t="shared" si="111"/>
        <v>178</v>
      </c>
      <c r="H170" s="64">
        <f t="shared" si="112"/>
        <v>2.54</v>
      </c>
      <c r="I170" s="65">
        <f t="shared" si="113"/>
        <v>1.02</v>
      </c>
      <c r="J170" s="66" t="str">
        <f t="shared" si="114"/>
        <v>Agree / Satisfactory</v>
      </c>
    </row>
    <row r="171" ht="15.75" customHeight="1">
      <c r="A171" s="60" t="s">
        <v>123</v>
      </c>
      <c r="B171" s="61">
        <v>13</v>
      </c>
      <c r="C171" s="62">
        <v>12</v>
      </c>
      <c r="D171" s="61">
        <v>30</v>
      </c>
      <c r="E171" s="61">
        <v>15</v>
      </c>
      <c r="F171" s="63">
        <f t="shared" si="110"/>
        <v>70</v>
      </c>
      <c r="G171" s="63">
        <f t="shared" si="111"/>
        <v>163</v>
      </c>
      <c r="H171" s="64">
        <f t="shared" si="112"/>
        <v>2.33</v>
      </c>
      <c r="I171" s="65">
        <f t="shared" si="113"/>
        <v>1.02</v>
      </c>
      <c r="J171" s="66" t="str">
        <f t="shared" si="114"/>
        <v>Disagree / Unsatisfactory</v>
      </c>
    </row>
    <row r="172" ht="15.75" customHeight="1">
      <c r="A172" s="60" t="s">
        <v>124</v>
      </c>
      <c r="B172" s="61">
        <v>17</v>
      </c>
      <c r="C172" s="62">
        <v>19</v>
      </c>
      <c r="D172" s="61">
        <v>22</v>
      </c>
      <c r="E172" s="61">
        <v>12</v>
      </c>
      <c r="F172" s="63">
        <f t="shared" si="110"/>
        <v>70</v>
      </c>
      <c r="G172" s="63">
        <f t="shared" si="111"/>
        <v>181</v>
      </c>
      <c r="H172" s="64">
        <f t="shared" si="112"/>
        <v>2.59</v>
      </c>
      <c r="I172" s="65">
        <f t="shared" si="113"/>
        <v>1.04</v>
      </c>
      <c r="J172" s="66" t="str">
        <f t="shared" si="114"/>
        <v>Agree / Satisfactory</v>
      </c>
    </row>
    <row r="173" ht="15.75" customHeight="1">
      <c r="A173" s="67" t="s">
        <v>29</v>
      </c>
      <c r="B173" s="68"/>
      <c r="C173" s="68"/>
      <c r="D173" s="68"/>
      <c r="E173" s="68"/>
      <c r="F173" s="68"/>
      <c r="G173" s="68"/>
      <c r="H173" s="69">
        <f t="shared" ref="H173:I173" si="115">IFERROR(ROUND(AVERAGE(H168:H172),2),"")</f>
        <v>2.48</v>
      </c>
      <c r="I173" s="70">
        <f t="shared" si="115"/>
        <v>1.04</v>
      </c>
      <c r="J173" s="71" t="str">
        <f t="shared" si="114"/>
        <v>Disagree / Unsatisfactory</v>
      </c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3"/>
      <c r="J174" s="72"/>
    </row>
    <row r="175" ht="15.75" customHeight="1">
      <c r="A175" s="58" t="s">
        <v>17</v>
      </c>
      <c r="B175" s="55"/>
      <c r="C175" s="55"/>
      <c r="D175" s="55"/>
      <c r="E175" s="55"/>
      <c r="F175" s="55"/>
      <c r="G175" s="55"/>
      <c r="H175" s="55"/>
      <c r="I175" s="55"/>
      <c r="J175" s="59"/>
    </row>
    <row r="176" ht="15.75" customHeight="1">
      <c r="A176" s="60" t="s">
        <v>125</v>
      </c>
      <c r="B176" s="62">
        <v>10</v>
      </c>
      <c r="C176" s="62">
        <v>10</v>
      </c>
      <c r="D176" s="61">
        <v>27</v>
      </c>
      <c r="E176" s="61">
        <v>23</v>
      </c>
      <c r="F176" s="63">
        <f t="shared" ref="F176:F179" si="116">SUM(B176:E176)</f>
        <v>70</v>
      </c>
      <c r="G176" s="63">
        <f t="shared" ref="G176:G179" si="117">4*B176+3*C176+2*D176+1*E176</f>
        <v>147</v>
      </c>
      <c r="H176" s="64">
        <f t="shared" ref="H176:H179" si="118">IF(F176=0,"",ROUND(G176/F176,2))</f>
        <v>2.1</v>
      </c>
      <c r="I176" s="65">
        <f t="shared" ref="I176:I179" si="119">IFERROR(IF(F176&lt;=1,"",ROUND(SQRT((B176*(4-H176)^2+C176*(3-H176)^2+D176*(2-H176)^2+E176*(1-H176)^2)/(F176-1)),2)),"")</f>
        <v>1.02</v>
      </c>
      <c r="J176" s="66" t="str">
        <f t="shared" ref="J176:J180" si="120">IF(H176="","",IF(H176&gt;=3.26,"Strongly Agree / Highly Satisfactory",IF(H176&gt;=2.51,"Agree / Satisfactory",IF(H176&gt;=1.76,"Disagree / Unsatisfactory","Strongly Disagree / Highly Unsatisfactory"))))</f>
        <v>Disagree / Unsatisfactory</v>
      </c>
    </row>
    <row r="177" ht="15.75" customHeight="1">
      <c r="A177" s="60" t="s">
        <v>126</v>
      </c>
      <c r="B177" s="62">
        <v>7</v>
      </c>
      <c r="C177" s="62">
        <v>8</v>
      </c>
      <c r="D177" s="61">
        <v>23</v>
      </c>
      <c r="E177" s="61">
        <v>32</v>
      </c>
      <c r="F177" s="63">
        <f t="shared" si="116"/>
        <v>70</v>
      </c>
      <c r="G177" s="63">
        <f t="shared" si="117"/>
        <v>130</v>
      </c>
      <c r="H177" s="64">
        <f t="shared" si="118"/>
        <v>1.86</v>
      </c>
      <c r="I177" s="65">
        <f t="shared" si="119"/>
        <v>0.98</v>
      </c>
      <c r="J177" s="66" t="str">
        <f t="shared" si="120"/>
        <v>Disagree / Unsatisfactory</v>
      </c>
    </row>
    <row r="178" ht="15.75" customHeight="1">
      <c r="A178" s="60" t="s">
        <v>127</v>
      </c>
      <c r="B178" s="62">
        <v>9</v>
      </c>
      <c r="C178" s="62">
        <v>3</v>
      </c>
      <c r="D178" s="61">
        <v>27</v>
      </c>
      <c r="E178" s="61">
        <v>31</v>
      </c>
      <c r="F178" s="63">
        <f t="shared" si="116"/>
        <v>70</v>
      </c>
      <c r="G178" s="63">
        <f t="shared" si="117"/>
        <v>130</v>
      </c>
      <c r="H178" s="64">
        <f t="shared" si="118"/>
        <v>1.86</v>
      </c>
      <c r="I178" s="65">
        <f t="shared" si="119"/>
        <v>1</v>
      </c>
      <c r="J178" s="66" t="str">
        <f t="shared" si="120"/>
        <v>Disagree / Unsatisfactory</v>
      </c>
    </row>
    <row r="179" ht="15.75" customHeight="1">
      <c r="A179" s="60" t="s">
        <v>128</v>
      </c>
      <c r="B179" s="62">
        <v>9</v>
      </c>
      <c r="C179" s="62">
        <v>7</v>
      </c>
      <c r="D179" s="61">
        <v>23</v>
      </c>
      <c r="E179" s="61">
        <v>31</v>
      </c>
      <c r="F179" s="63">
        <f t="shared" si="116"/>
        <v>70</v>
      </c>
      <c r="G179" s="63">
        <f t="shared" si="117"/>
        <v>134</v>
      </c>
      <c r="H179" s="64">
        <f t="shared" si="118"/>
        <v>1.91</v>
      </c>
      <c r="I179" s="65">
        <f t="shared" si="119"/>
        <v>1.03</v>
      </c>
      <c r="J179" s="66" t="str">
        <f t="shared" si="120"/>
        <v>Disagree / Unsatisfactory</v>
      </c>
    </row>
    <row r="180" ht="15.75" customHeight="1">
      <c r="A180" s="67" t="s">
        <v>29</v>
      </c>
      <c r="B180" s="68"/>
      <c r="C180" s="68"/>
      <c r="D180" s="68"/>
      <c r="E180" s="68"/>
      <c r="F180" s="68"/>
      <c r="G180" s="68"/>
      <c r="H180" s="69">
        <f t="shared" ref="H180:I180" si="121">IFERROR(ROUND(AVERAGE(H176:H179),2),"")</f>
        <v>1.93</v>
      </c>
      <c r="I180" s="70">
        <f t="shared" si="121"/>
        <v>1.01</v>
      </c>
      <c r="J180" s="71" t="str">
        <f t="shared" si="120"/>
        <v>Disagree / Unsatisfactory</v>
      </c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3"/>
      <c r="J181" s="72"/>
    </row>
    <row r="182" ht="15.75" customHeight="1">
      <c r="A182" s="58" t="s">
        <v>20</v>
      </c>
      <c r="B182" s="55"/>
      <c r="C182" s="55"/>
      <c r="D182" s="55"/>
      <c r="E182" s="55"/>
      <c r="F182" s="55"/>
      <c r="G182" s="55"/>
      <c r="H182" s="55"/>
      <c r="I182" s="55"/>
      <c r="J182" s="59"/>
    </row>
    <row r="183" ht="15.75" customHeight="1">
      <c r="A183" s="60" t="s">
        <v>129</v>
      </c>
      <c r="B183" s="61">
        <v>22</v>
      </c>
      <c r="C183" s="61">
        <v>19</v>
      </c>
      <c r="D183" s="61">
        <v>21</v>
      </c>
      <c r="E183" s="61">
        <v>8</v>
      </c>
      <c r="F183" s="63">
        <f t="shared" ref="F183:F187" si="122">SUM(B183:E183)</f>
        <v>70</v>
      </c>
      <c r="G183" s="63">
        <f t="shared" ref="G183:G187" si="123">4*B183+3*C183+2*D183+1*E183</f>
        <v>195</v>
      </c>
      <c r="H183" s="64">
        <f t="shared" ref="H183:H187" si="124">IF(F183=0,"",ROUND(G183/F183,2))</f>
        <v>2.79</v>
      </c>
      <c r="I183" s="65">
        <f t="shared" ref="I183:I187" si="125">IFERROR(IF(F183&lt;=1,"",ROUND(SQRT((B183*(4-H183)^2+C183*(3-H183)^2+D183*(2-H183)^2+E183*(1-H183)^2)/(F183-1)),2)),"")</f>
        <v>1.02</v>
      </c>
      <c r="J183" s="66" t="str">
        <f t="shared" ref="J183:J188" si="126">IF(H183="","",IF(H183&gt;=3.26,"Strongly Agree / Highly Satisfactory",IF(H183&gt;=2.51,"Agree / Satisfactory",IF(H183&gt;=1.76,"Disagree / Unsatisfactory","Strongly Disagree / Highly Unsatisfactory"))))</f>
        <v>Agree / Satisfactory</v>
      </c>
    </row>
    <row r="184" ht="15.75" customHeight="1">
      <c r="A184" s="60" t="s">
        <v>130</v>
      </c>
      <c r="B184" s="61">
        <v>16</v>
      </c>
      <c r="C184" s="61">
        <v>21</v>
      </c>
      <c r="D184" s="61">
        <v>24</v>
      </c>
      <c r="E184" s="61">
        <v>9</v>
      </c>
      <c r="F184" s="63">
        <f t="shared" si="122"/>
        <v>70</v>
      </c>
      <c r="G184" s="63">
        <f t="shared" si="123"/>
        <v>184</v>
      </c>
      <c r="H184" s="64">
        <f t="shared" si="124"/>
        <v>2.63</v>
      </c>
      <c r="I184" s="65">
        <f t="shared" si="125"/>
        <v>0.98</v>
      </c>
      <c r="J184" s="66" t="str">
        <f t="shared" si="126"/>
        <v>Agree / Satisfactory</v>
      </c>
    </row>
    <row r="185" ht="15.75" customHeight="1">
      <c r="A185" s="60" t="s">
        <v>131</v>
      </c>
      <c r="B185" s="61">
        <v>10</v>
      </c>
      <c r="C185" s="61">
        <v>18</v>
      </c>
      <c r="D185" s="61">
        <v>30</v>
      </c>
      <c r="E185" s="61">
        <v>12</v>
      </c>
      <c r="F185" s="63">
        <f t="shared" si="122"/>
        <v>70</v>
      </c>
      <c r="G185" s="63">
        <f t="shared" si="123"/>
        <v>166</v>
      </c>
      <c r="H185" s="64">
        <f t="shared" si="124"/>
        <v>2.37</v>
      </c>
      <c r="I185" s="65">
        <f t="shared" si="125"/>
        <v>0.94</v>
      </c>
      <c r="J185" s="66" t="str">
        <f t="shared" si="126"/>
        <v>Disagree / Unsatisfactory</v>
      </c>
    </row>
    <row r="186" ht="15.75" customHeight="1">
      <c r="A186" s="60" t="s">
        <v>132</v>
      </c>
      <c r="B186" s="61">
        <v>19</v>
      </c>
      <c r="C186" s="61">
        <v>22</v>
      </c>
      <c r="D186" s="61">
        <v>18</v>
      </c>
      <c r="E186" s="61">
        <v>11</v>
      </c>
      <c r="F186" s="63">
        <f t="shared" si="122"/>
        <v>70</v>
      </c>
      <c r="G186" s="63">
        <f t="shared" si="123"/>
        <v>189</v>
      </c>
      <c r="H186" s="64">
        <f t="shared" si="124"/>
        <v>2.7</v>
      </c>
      <c r="I186" s="65">
        <f t="shared" si="125"/>
        <v>1.04</v>
      </c>
      <c r="J186" s="66" t="str">
        <f t="shared" si="126"/>
        <v>Agree / Satisfactory</v>
      </c>
    </row>
    <row r="187" ht="15.75" customHeight="1">
      <c r="A187" s="60" t="s">
        <v>133</v>
      </c>
      <c r="B187" s="61">
        <v>20</v>
      </c>
      <c r="C187" s="61">
        <v>21</v>
      </c>
      <c r="D187" s="61">
        <v>17</v>
      </c>
      <c r="E187" s="61">
        <v>12</v>
      </c>
      <c r="F187" s="63">
        <f t="shared" si="122"/>
        <v>70</v>
      </c>
      <c r="G187" s="63">
        <f t="shared" si="123"/>
        <v>189</v>
      </c>
      <c r="H187" s="64">
        <f t="shared" si="124"/>
        <v>2.7</v>
      </c>
      <c r="I187" s="65">
        <f t="shared" si="125"/>
        <v>1.07</v>
      </c>
      <c r="J187" s="66" t="str">
        <f t="shared" si="126"/>
        <v>Agree / Satisfactory</v>
      </c>
    </row>
    <row r="188" ht="15.75" customHeight="1">
      <c r="A188" s="67" t="s">
        <v>29</v>
      </c>
      <c r="B188" s="68"/>
      <c r="C188" s="68"/>
      <c r="D188" s="68"/>
      <c r="E188" s="68"/>
      <c r="F188" s="68"/>
      <c r="G188" s="68"/>
      <c r="H188" s="69">
        <f t="shared" ref="H188:I188" si="127">IFERROR(ROUND(AVERAGE(H183:H187),2),"")</f>
        <v>2.64</v>
      </c>
      <c r="I188" s="70">
        <f t="shared" si="127"/>
        <v>1.01</v>
      </c>
      <c r="J188" s="71" t="str">
        <f t="shared" si="126"/>
        <v>Agree / Satisfactory</v>
      </c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3"/>
      <c r="J189" s="72"/>
    </row>
    <row r="190" ht="15.75" customHeight="1">
      <c r="A190" s="58" t="s">
        <v>22</v>
      </c>
      <c r="B190" s="55"/>
      <c r="C190" s="55"/>
      <c r="D190" s="55"/>
      <c r="E190" s="55"/>
      <c r="F190" s="55"/>
      <c r="G190" s="55"/>
      <c r="H190" s="55"/>
      <c r="I190" s="55"/>
      <c r="J190" s="59"/>
    </row>
    <row r="191" ht="15.75" customHeight="1">
      <c r="A191" s="60" t="s">
        <v>134</v>
      </c>
      <c r="B191" s="61">
        <v>10</v>
      </c>
      <c r="C191" s="61">
        <v>13</v>
      </c>
      <c r="D191" s="61">
        <v>30</v>
      </c>
      <c r="E191" s="61">
        <v>17</v>
      </c>
      <c r="F191" s="63">
        <f t="shared" ref="F191:F195" si="128">SUM(B191:E191)</f>
        <v>70</v>
      </c>
      <c r="G191" s="63">
        <f t="shared" ref="G191:G195" si="129">4*B191+3*C191+2*D191+1*E191</f>
        <v>156</v>
      </c>
      <c r="H191" s="64">
        <f t="shared" ref="H191:H195" si="130">IF(F191=0,"",ROUND(G191/F191,2))</f>
        <v>2.23</v>
      </c>
      <c r="I191" s="65">
        <f t="shared" ref="I191:I195" si="131">IFERROR(IF(F191&lt;=1,"",ROUND(SQRT((B191*(4-H191)^2+C191*(3-H191)^2+D191*(2-H191)^2+E191*(1-H191)^2)/(F191-1)),2)),"")</f>
        <v>0.98</v>
      </c>
      <c r="J191" s="66" t="str">
        <f t="shared" ref="J191:J196" si="132">IF(H191="","",IF(H191&gt;=3.26,"Strongly Agree / Highly Satisfactory",IF(H191&gt;=2.51,"Agree / Satisfactory",IF(H191&gt;=1.76,"Disagree / Unsatisfactory","Strongly Disagree / Highly Unsatisfactory"))))</f>
        <v>Disagree / Unsatisfactory</v>
      </c>
    </row>
    <row r="192" ht="15.75" customHeight="1">
      <c r="A192" s="60" t="s">
        <v>135</v>
      </c>
      <c r="B192" s="61">
        <v>10</v>
      </c>
      <c r="C192" s="61">
        <v>12</v>
      </c>
      <c r="D192" s="61">
        <v>35</v>
      </c>
      <c r="E192" s="61">
        <v>13</v>
      </c>
      <c r="F192" s="63">
        <f t="shared" si="128"/>
        <v>70</v>
      </c>
      <c r="G192" s="63">
        <f t="shared" si="129"/>
        <v>159</v>
      </c>
      <c r="H192" s="64">
        <f t="shared" si="130"/>
        <v>2.27</v>
      </c>
      <c r="I192" s="65">
        <f t="shared" si="131"/>
        <v>0.93</v>
      </c>
      <c r="J192" s="66" t="str">
        <f t="shared" si="132"/>
        <v>Disagree / Unsatisfactory</v>
      </c>
    </row>
    <row r="193" ht="15.75" customHeight="1">
      <c r="A193" s="60" t="s">
        <v>136</v>
      </c>
      <c r="B193" s="61">
        <v>8</v>
      </c>
      <c r="C193" s="61">
        <v>17</v>
      </c>
      <c r="D193" s="61">
        <v>31</v>
      </c>
      <c r="E193" s="61">
        <v>14</v>
      </c>
      <c r="F193" s="63">
        <f t="shared" si="128"/>
        <v>70</v>
      </c>
      <c r="G193" s="63">
        <f t="shared" si="129"/>
        <v>159</v>
      </c>
      <c r="H193" s="64">
        <f t="shared" si="130"/>
        <v>2.27</v>
      </c>
      <c r="I193" s="65">
        <f t="shared" si="131"/>
        <v>0.92</v>
      </c>
      <c r="J193" s="66" t="str">
        <f t="shared" si="132"/>
        <v>Disagree / Unsatisfactory</v>
      </c>
    </row>
    <row r="194" ht="15.75" customHeight="1">
      <c r="A194" s="60" t="s">
        <v>137</v>
      </c>
      <c r="B194" s="61">
        <v>10</v>
      </c>
      <c r="C194" s="61">
        <v>8</v>
      </c>
      <c r="D194" s="61">
        <v>27</v>
      </c>
      <c r="E194" s="61">
        <v>25</v>
      </c>
      <c r="F194" s="63">
        <f t="shared" si="128"/>
        <v>70</v>
      </c>
      <c r="G194" s="63">
        <f t="shared" si="129"/>
        <v>143</v>
      </c>
      <c r="H194" s="64">
        <f t="shared" si="130"/>
        <v>2.04</v>
      </c>
      <c r="I194" s="65">
        <f t="shared" si="131"/>
        <v>1.03</v>
      </c>
      <c r="J194" s="66" t="str">
        <f t="shared" si="132"/>
        <v>Disagree / Unsatisfactory</v>
      </c>
    </row>
    <row r="195" ht="15.75" customHeight="1">
      <c r="A195" s="60" t="s">
        <v>138</v>
      </c>
      <c r="B195" s="61">
        <v>10</v>
      </c>
      <c r="C195" s="61">
        <v>9</v>
      </c>
      <c r="D195" s="61">
        <v>29</v>
      </c>
      <c r="E195" s="61">
        <v>22</v>
      </c>
      <c r="F195" s="63">
        <f t="shared" si="128"/>
        <v>70</v>
      </c>
      <c r="G195" s="63">
        <f t="shared" si="129"/>
        <v>147</v>
      </c>
      <c r="H195" s="64">
        <f t="shared" si="130"/>
        <v>2.1</v>
      </c>
      <c r="I195" s="65">
        <f t="shared" si="131"/>
        <v>1.01</v>
      </c>
      <c r="J195" s="66" t="str">
        <f t="shared" si="132"/>
        <v>Disagree / Unsatisfactory</v>
      </c>
    </row>
    <row r="196" ht="15.75" customHeight="1">
      <c r="A196" s="67" t="s">
        <v>29</v>
      </c>
      <c r="B196" s="68"/>
      <c r="C196" s="68"/>
      <c r="D196" s="68"/>
      <c r="E196" s="68"/>
      <c r="F196" s="68"/>
      <c r="G196" s="68"/>
      <c r="H196" s="69">
        <f t="shared" ref="H196:I196" si="133">IFERROR(ROUND(AVERAGE(H191:H195),2),"")</f>
        <v>2.18</v>
      </c>
      <c r="I196" s="70">
        <f t="shared" si="133"/>
        <v>0.97</v>
      </c>
      <c r="J196" s="71" t="str">
        <f t="shared" si="132"/>
        <v>Disagree / Unsatisfactory</v>
      </c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3"/>
      <c r="J197" s="72"/>
    </row>
    <row r="198" ht="15.75" customHeight="1">
      <c r="A198" s="58" t="s">
        <v>23</v>
      </c>
      <c r="B198" s="55"/>
      <c r="C198" s="55"/>
      <c r="D198" s="55"/>
      <c r="E198" s="55"/>
      <c r="F198" s="55"/>
      <c r="G198" s="55"/>
      <c r="H198" s="55"/>
      <c r="I198" s="55"/>
      <c r="J198" s="59"/>
    </row>
    <row r="199" ht="15.75" customHeight="1">
      <c r="A199" s="60" t="s">
        <v>139</v>
      </c>
      <c r="B199" s="61">
        <v>8</v>
      </c>
      <c r="C199" s="62">
        <v>17</v>
      </c>
      <c r="D199" s="61">
        <v>25</v>
      </c>
      <c r="E199" s="61">
        <v>20</v>
      </c>
      <c r="F199" s="63">
        <f t="shared" ref="F199:F203" si="134">SUM(B199:E199)</f>
        <v>70</v>
      </c>
      <c r="G199" s="63">
        <f t="shared" ref="G199:G203" si="135">4*B199+3*C199+2*D199+1*E199</f>
        <v>153</v>
      </c>
      <c r="H199" s="64">
        <f t="shared" ref="H199:H203" si="136">IF(F199=0,"",ROUND(G199/F199,2))</f>
        <v>2.19</v>
      </c>
      <c r="I199" s="65">
        <f t="shared" ref="I199:I203" si="137">IFERROR(IF(F199&lt;=1,"",ROUND(SQRT((B199*(4-H199)^2+C199*(3-H199)^2+D199*(2-H199)^2+E199*(1-H199)^2)/(F199-1)),2)),"")</f>
        <v>0.98</v>
      </c>
      <c r="J199" s="66" t="str">
        <f t="shared" ref="J199:J204" si="138">IF(H199="","",IF(H199&gt;=3.26,"Strongly Agree / Highly Satisfactory",IF(H199&gt;=2.51,"Agree / Satisfactory",IF(H199&gt;=1.76,"Disagree / Unsatisfactory","Strongly Disagree / Highly Unsatisfactory"))))</f>
        <v>Disagree / Unsatisfactory</v>
      </c>
    </row>
    <row r="200" ht="15.75" customHeight="1">
      <c r="A200" s="60" t="s">
        <v>140</v>
      </c>
      <c r="B200" s="61">
        <v>12</v>
      </c>
      <c r="C200" s="62">
        <v>11</v>
      </c>
      <c r="D200" s="61">
        <v>28</v>
      </c>
      <c r="E200" s="61">
        <v>19</v>
      </c>
      <c r="F200" s="63">
        <f t="shared" si="134"/>
        <v>70</v>
      </c>
      <c r="G200" s="63">
        <f t="shared" si="135"/>
        <v>156</v>
      </c>
      <c r="H200" s="64">
        <f t="shared" si="136"/>
        <v>2.23</v>
      </c>
      <c r="I200" s="65">
        <f t="shared" si="137"/>
        <v>1.04</v>
      </c>
      <c r="J200" s="66" t="str">
        <f t="shared" si="138"/>
        <v>Disagree / Unsatisfactory</v>
      </c>
    </row>
    <row r="201" ht="15.75" customHeight="1">
      <c r="A201" s="60" t="s">
        <v>141</v>
      </c>
      <c r="B201" s="61">
        <v>9</v>
      </c>
      <c r="C201" s="62">
        <v>14</v>
      </c>
      <c r="D201" s="61">
        <v>27</v>
      </c>
      <c r="E201" s="61">
        <v>20</v>
      </c>
      <c r="F201" s="63">
        <f t="shared" si="134"/>
        <v>70</v>
      </c>
      <c r="G201" s="63">
        <f t="shared" si="135"/>
        <v>152</v>
      </c>
      <c r="H201" s="64">
        <f t="shared" si="136"/>
        <v>2.17</v>
      </c>
      <c r="I201" s="65">
        <f t="shared" si="137"/>
        <v>0.99</v>
      </c>
      <c r="J201" s="66" t="str">
        <f t="shared" si="138"/>
        <v>Disagree / Unsatisfactory</v>
      </c>
    </row>
    <row r="202" ht="15.75" customHeight="1">
      <c r="A202" s="60" t="s">
        <v>142</v>
      </c>
      <c r="B202" s="61">
        <v>8</v>
      </c>
      <c r="C202" s="62">
        <v>17</v>
      </c>
      <c r="D202" s="61">
        <v>21</v>
      </c>
      <c r="E202" s="61">
        <v>24</v>
      </c>
      <c r="F202" s="63">
        <f t="shared" si="134"/>
        <v>70</v>
      </c>
      <c r="G202" s="63">
        <f t="shared" si="135"/>
        <v>149</v>
      </c>
      <c r="H202" s="64">
        <f t="shared" si="136"/>
        <v>2.13</v>
      </c>
      <c r="I202" s="65">
        <f t="shared" si="137"/>
        <v>1.02</v>
      </c>
      <c r="J202" s="66" t="str">
        <f t="shared" si="138"/>
        <v>Disagree / Unsatisfactory</v>
      </c>
    </row>
    <row r="203" ht="15.75" customHeight="1">
      <c r="A203" s="60" t="s">
        <v>143</v>
      </c>
      <c r="B203" s="61">
        <v>10</v>
      </c>
      <c r="C203" s="62">
        <v>15</v>
      </c>
      <c r="D203" s="61">
        <v>24</v>
      </c>
      <c r="E203" s="61">
        <v>21</v>
      </c>
      <c r="F203" s="63">
        <f t="shared" si="134"/>
        <v>70</v>
      </c>
      <c r="G203" s="63">
        <f t="shared" si="135"/>
        <v>154</v>
      </c>
      <c r="H203" s="64">
        <f t="shared" si="136"/>
        <v>2.2</v>
      </c>
      <c r="I203" s="65">
        <f t="shared" si="137"/>
        <v>1.03</v>
      </c>
      <c r="J203" s="66" t="str">
        <f t="shared" si="138"/>
        <v>Disagree / Unsatisfactory</v>
      </c>
    </row>
    <row r="204" ht="15.75" customHeight="1">
      <c r="A204" s="67" t="s">
        <v>29</v>
      </c>
      <c r="B204" s="68"/>
      <c r="C204" s="68"/>
      <c r="D204" s="68"/>
      <c r="E204" s="68"/>
      <c r="F204" s="68"/>
      <c r="G204" s="68"/>
      <c r="H204" s="69">
        <f t="shared" ref="H204:I204" si="139">IFERROR(ROUND(AVERAGE(H199:H203),2),"")</f>
        <v>2.18</v>
      </c>
      <c r="I204" s="70">
        <f t="shared" si="139"/>
        <v>1.01</v>
      </c>
      <c r="J204" s="71" t="str">
        <f t="shared" si="138"/>
        <v>Disagree / Unsatisfactory</v>
      </c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3"/>
      <c r="J205" s="72"/>
    </row>
    <row r="206" ht="15.75" customHeight="1">
      <c r="A206" s="74" t="s">
        <v>49</v>
      </c>
      <c r="B206" s="75"/>
      <c r="C206" s="75"/>
      <c r="D206" s="75"/>
      <c r="E206" s="75"/>
      <c r="F206" s="75"/>
      <c r="G206" s="75"/>
      <c r="H206" s="76">
        <f t="shared" ref="H206:I206" si="140">IFERROR(ROUND(AVERAGE(H173,H180,H188,H196,H204),2),"")</f>
        <v>2.28</v>
      </c>
      <c r="I206" s="77">
        <f t="shared" si="140"/>
        <v>1.01</v>
      </c>
      <c r="J206" s="78" t="str">
        <f>IF(H206="","",IF(H206&gt;=3.26,"Strongly Agree / Highly Satisfactory",IF(H206&gt;=2.51,"Agree / Satisfactory",IF(H206&gt;=1.76,"Disagree / Unsatisfactory","Strongly Disagree / Highly Unsatisfactory"))))</f>
        <v>Disagree / Unsatisfactory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1">
    <mergeCell ref="A1:J1"/>
    <mergeCell ref="A2:J2"/>
    <mergeCell ref="A4:J4"/>
    <mergeCell ref="A12:J12"/>
    <mergeCell ref="A19:J19"/>
    <mergeCell ref="A27:J27"/>
    <mergeCell ref="A35:J35"/>
    <mergeCell ref="A47:J47"/>
    <mergeCell ref="A48:J48"/>
    <mergeCell ref="A50:J50"/>
    <mergeCell ref="A58:J58"/>
    <mergeCell ref="A65:J65"/>
    <mergeCell ref="A73:J73"/>
    <mergeCell ref="A81:J81"/>
    <mergeCell ref="A93:J93"/>
    <mergeCell ref="A94:J94"/>
    <mergeCell ref="A96:J96"/>
    <mergeCell ref="A104:J104"/>
    <mergeCell ref="A112:J112"/>
    <mergeCell ref="A119:J119"/>
    <mergeCell ref="A127:J127"/>
    <mergeCell ref="A182:J182"/>
    <mergeCell ref="A190:J190"/>
    <mergeCell ref="A198:J198"/>
    <mergeCell ref="A135:J135"/>
    <mergeCell ref="A143:J143"/>
    <mergeCell ref="A151:J151"/>
    <mergeCell ref="A164:J164"/>
    <mergeCell ref="A165:J165"/>
    <mergeCell ref="A167:J167"/>
    <mergeCell ref="A175:J175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0.0"/>
    <col customWidth="1" min="2" max="4" width="12.0"/>
    <col customWidth="1" min="5" max="5" width="13.0"/>
    <col customWidth="1" min="6" max="6" width="11.0"/>
    <col customWidth="1" min="7" max="7" width="12.0"/>
    <col customWidth="1" min="8" max="8" width="13.0"/>
    <col customWidth="1" min="9" max="9" width="30.0"/>
    <col customWidth="1" min="10" max="26" width="8.71"/>
  </cols>
  <sheetData>
    <row r="1" ht="21.75" customHeight="1">
      <c r="A1" s="1" t="s">
        <v>1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4</v>
      </c>
      <c r="B2" s="2"/>
      <c r="C2" s="2"/>
      <c r="D2" s="2"/>
      <c r="E2" s="2"/>
      <c r="F2" s="2"/>
      <c r="G2" s="2"/>
      <c r="H2" s="2"/>
      <c r="I2" s="3"/>
    </row>
    <row r="4" ht="30.0" customHeight="1">
      <c r="A4" s="5" t="s">
        <v>5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</row>
    <row r="5" ht="19.5" customHeight="1">
      <c r="A5" s="6" t="s">
        <v>15</v>
      </c>
      <c r="B5" s="7"/>
      <c r="C5" s="7"/>
      <c r="D5" s="7"/>
      <c r="E5" s="7"/>
      <c r="F5" s="7"/>
      <c r="G5" s="7"/>
      <c r="H5" s="7"/>
      <c r="I5" s="8"/>
    </row>
    <row r="6" ht="24.0" customHeight="1">
      <c r="A6" s="11" t="s">
        <v>19</v>
      </c>
      <c r="B6" s="10"/>
      <c r="C6" s="10"/>
      <c r="D6" s="10"/>
      <c r="E6" s="10"/>
      <c r="F6" s="10"/>
      <c r="G6" s="10"/>
      <c r="H6" s="10"/>
      <c r="I6" s="10"/>
    </row>
    <row r="8" ht="19.5" customHeight="1">
      <c r="A8" s="6" t="s">
        <v>17</v>
      </c>
      <c r="B8" s="7"/>
      <c r="C8" s="7"/>
      <c r="D8" s="7"/>
      <c r="E8" s="7"/>
      <c r="F8" s="7"/>
      <c r="G8" s="7"/>
      <c r="H8" s="7"/>
      <c r="I8" s="8"/>
    </row>
    <row r="9" ht="24.0" customHeight="1">
      <c r="A9" s="9" t="s">
        <v>16</v>
      </c>
      <c r="B9" s="10"/>
      <c r="C9" s="10"/>
      <c r="D9" s="10"/>
      <c r="E9" s="10"/>
      <c r="F9" s="10"/>
      <c r="G9" s="10"/>
      <c r="H9" s="10"/>
      <c r="I9" s="10"/>
    </row>
    <row r="11" ht="19.5" customHeight="1">
      <c r="A11" s="6" t="s">
        <v>20</v>
      </c>
      <c r="B11" s="7"/>
      <c r="C11" s="7"/>
      <c r="D11" s="7"/>
      <c r="E11" s="7"/>
      <c r="F11" s="7"/>
      <c r="G11" s="7"/>
      <c r="H11" s="7"/>
      <c r="I11" s="8"/>
    </row>
    <row r="12" ht="24.0" customHeight="1">
      <c r="A12" s="9" t="s">
        <v>16</v>
      </c>
      <c r="B12" s="10"/>
      <c r="C12" s="10"/>
      <c r="D12" s="10"/>
      <c r="E12" s="10"/>
      <c r="F12" s="10"/>
      <c r="G12" s="10"/>
      <c r="H12" s="10"/>
      <c r="I12" s="10"/>
    </row>
    <row r="14" ht="19.5" customHeight="1">
      <c r="A14" s="6" t="s">
        <v>22</v>
      </c>
      <c r="B14" s="7"/>
      <c r="C14" s="7"/>
      <c r="D14" s="7"/>
      <c r="E14" s="7"/>
      <c r="F14" s="7"/>
      <c r="G14" s="7"/>
      <c r="H14" s="7"/>
      <c r="I14" s="8"/>
    </row>
    <row r="15" ht="24.0" customHeight="1">
      <c r="A15" s="9" t="s">
        <v>16</v>
      </c>
      <c r="B15" s="10"/>
      <c r="C15" s="10"/>
      <c r="D15" s="10"/>
      <c r="E15" s="10"/>
      <c r="F15" s="10"/>
      <c r="G15" s="10"/>
      <c r="H15" s="10"/>
      <c r="I15" s="10"/>
    </row>
    <row r="17" ht="19.5" customHeight="1">
      <c r="A17" s="6" t="s">
        <v>23</v>
      </c>
      <c r="B17" s="7"/>
      <c r="C17" s="7"/>
      <c r="D17" s="7"/>
      <c r="E17" s="7"/>
      <c r="F17" s="7"/>
      <c r="G17" s="7"/>
      <c r="H17" s="7"/>
      <c r="I17" s="8"/>
    </row>
    <row r="18" ht="24.0" customHeight="1">
      <c r="A18" s="9" t="s">
        <v>16</v>
      </c>
      <c r="B18" s="10"/>
      <c r="C18" s="10"/>
      <c r="D18" s="10"/>
      <c r="E18" s="10"/>
      <c r="F18" s="10"/>
      <c r="G18" s="10"/>
      <c r="H18" s="10"/>
      <c r="I1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5:I5"/>
    <mergeCell ref="A8:I8"/>
    <mergeCell ref="A11:I11"/>
    <mergeCell ref="A14:I14"/>
    <mergeCell ref="A17:I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0.0"/>
    <col customWidth="1" min="2" max="4" width="12.0"/>
    <col customWidth="1" min="5" max="5" width="13.0"/>
    <col customWidth="1" min="6" max="6" width="11.0"/>
    <col customWidth="1" min="7" max="7" width="12.0"/>
    <col customWidth="1" min="8" max="8" width="13.0"/>
    <col customWidth="1" min="9" max="9" width="30.0"/>
    <col customWidth="1" min="10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3</v>
      </c>
      <c r="B2" s="2"/>
      <c r="C2" s="2"/>
      <c r="D2" s="2"/>
      <c r="E2" s="2"/>
      <c r="F2" s="2"/>
      <c r="G2" s="2"/>
      <c r="H2" s="2"/>
      <c r="I2" s="3"/>
    </row>
    <row r="4" ht="30.0" customHeight="1">
      <c r="A4" s="5" t="s">
        <v>5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</row>
    <row r="5" ht="19.5" customHeight="1">
      <c r="A5" s="6" t="s">
        <v>15</v>
      </c>
      <c r="B5" s="7"/>
      <c r="C5" s="7"/>
      <c r="D5" s="7"/>
      <c r="E5" s="7"/>
      <c r="F5" s="7"/>
      <c r="G5" s="7"/>
      <c r="H5" s="7"/>
      <c r="I5" s="8"/>
    </row>
    <row r="6" ht="24.0" customHeight="1">
      <c r="A6" s="9" t="s">
        <v>16</v>
      </c>
      <c r="B6" s="10"/>
      <c r="C6" s="10"/>
      <c r="D6" s="10"/>
      <c r="E6" s="10"/>
      <c r="F6" s="10"/>
      <c r="G6" s="10"/>
      <c r="H6" s="10"/>
      <c r="I6" s="10"/>
    </row>
    <row r="8" ht="19.5" customHeight="1">
      <c r="A8" s="6" t="s">
        <v>17</v>
      </c>
      <c r="B8" s="7"/>
      <c r="C8" s="7"/>
      <c r="D8" s="7"/>
      <c r="E8" s="7"/>
      <c r="F8" s="7"/>
      <c r="G8" s="7"/>
      <c r="H8" s="7"/>
      <c r="I8" s="8"/>
    </row>
    <row r="9" ht="24.0" customHeight="1">
      <c r="A9" s="9" t="s">
        <v>16</v>
      </c>
      <c r="B9" s="10"/>
      <c r="C9" s="10"/>
      <c r="D9" s="10"/>
      <c r="E9" s="10"/>
      <c r="F9" s="10"/>
      <c r="G9" s="10"/>
      <c r="H9" s="10"/>
      <c r="I9" s="10"/>
    </row>
    <row r="11" ht="19.5" customHeight="1">
      <c r="A11" s="6" t="s">
        <v>20</v>
      </c>
      <c r="B11" s="7"/>
      <c r="C11" s="7"/>
      <c r="D11" s="7"/>
      <c r="E11" s="7"/>
      <c r="F11" s="7"/>
      <c r="G11" s="7"/>
      <c r="H11" s="7"/>
      <c r="I11" s="8"/>
    </row>
    <row r="12" ht="24.0" customHeight="1">
      <c r="A12" s="9" t="s">
        <v>16</v>
      </c>
      <c r="B12" s="10"/>
      <c r="C12" s="10"/>
      <c r="D12" s="10"/>
      <c r="E12" s="10"/>
      <c r="F12" s="10"/>
      <c r="G12" s="10"/>
      <c r="H12" s="10"/>
      <c r="I12" s="10"/>
    </row>
    <row r="14" ht="19.5" customHeight="1">
      <c r="A14" s="6" t="s">
        <v>22</v>
      </c>
      <c r="B14" s="7"/>
      <c r="C14" s="7"/>
      <c r="D14" s="7"/>
      <c r="E14" s="7"/>
      <c r="F14" s="7"/>
      <c r="G14" s="7"/>
      <c r="H14" s="7"/>
      <c r="I14" s="8"/>
    </row>
    <row r="15" ht="24.0" customHeight="1">
      <c r="A15" s="9" t="s">
        <v>16</v>
      </c>
      <c r="B15" s="10"/>
      <c r="C15" s="10"/>
      <c r="D15" s="10"/>
      <c r="E15" s="10"/>
      <c r="F15" s="10"/>
      <c r="G15" s="10"/>
      <c r="H15" s="10"/>
      <c r="I15" s="10"/>
    </row>
    <row r="17" ht="19.5" customHeight="1">
      <c r="A17" s="6" t="s">
        <v>23</v>
      </c>
      <c r="B17" s="7"/>
      <c r="C17" s="7"/>
      <c r="D17" s="7"/>
      <c r="E17" s="7"/>
      <c r="F17" s="7"/>
      <c r="G17" s="7"/>
      <c r="H17" s="7"/>
      <c r="I17" s="8"/>
    </row>
    <row r="18" ht="24.0" customHeight="1">
      <c r="A18" s="9" t="s">
        <v>16</v>
      </c>
      <c r="B18" s="10"/>
      <c r="C18" s="10"/>
      <c r="D18" s="10"/>
      <c r="E18" s="10"/>
      <c r="F18" s="10"/>
      <c r="G18" s="10"/>
      <c r="H18" s="10"/>
      <c r="I1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5:I5"/>
    <mergeCell ref="A8:I8"/>
    <mergeCell ref="A11:I11"/>
    <mergeCell ref="A14:I14"/>
    <mergeCell ref="A17:I17"/>
  </mergeCells>
  <printOptions/>
  <pageMargins bottom="1.0" footer="0.0" header="0.0" left="0.75" right="0.75" top="1.0"/>
  <pageSetup paperSize="9" orientation="portrait"/>
  <drawing r:id="rId1"/>
</worksheet>
</file>