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3fe8ccafa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41e3b88a0f4845"/>
    <x:sheet xmlns:r="http://schemas.openxmlformats.org/officeDocument/2006/relationships" name="Measurements" sheetId="2" r:id="R64f628bea4db46ac"/>
    <x:sheet xmlns:r="http://schemas.openxmlformats.org/officeDocument/2006/relationships" name="RawRecords" sheetId="3" r:id="Rd8ad5a88a73847cd"/>
    <x:sheet xmlns:r="http://schemas.openxmlformats.org/officeDocument/2006/relationships" name="ManualBaseline" sheetId="4" r:id="R26844846c6e8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.000"/>
    <x:numFmt numFmtId="201" formatCode="0.0000"/>
    <x:numFmt numFmtId="202" formatCode="0.000"/>
    <x:numFmt numFmtId="203" formatCode="0.00"/>
    <x:numFmt numFmtId="204" formatCode="0.00%"/>
    <x:numFmt numFmtId="205" formatCode="0"/>
    <x:numFmt numFmtId="206" formatCode="@"/>
  </x:numFmts>
  <x:fonts count="4">
    <x:font>
      <x:sz val="11"/>
      <x:name val="Carlito"/>
    </x:font>
    <x:font>
      <x:sz val="10"/>
      <x:color rgb="FF243B40"/>
      <x:name val="Arial"/>
    </x:font>
    <x:font>
      <x:b/>
      <x:sz val="12"/>
      <x:color rgb="FFFFFFFF"/>
      <x:name val="Arial"/>
    </x:font>
    <x:font>
      <x:b/>
      <x:sz val="10"/>
      <x:color rgb="FF243B4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6C78"/>
      </x:patternFill>
    </x:fill>
    <x:fill>
      <x:patternFill patternType="solid">
        <x:fgColor rgb="FFE9F2F3"/>
      </x:patternFill>
    </x:fill>
    <x:fill>
      <x:patternFill patternType="solid">
        <x:fgColor rgb="FFFFF4D8"/>
      </x:patternFill>
    </x:fill>
    <x:fill>
      <x:patternFill patternType="solid">
        <x:fgColor rgb="FFF5E7B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1" fillId="4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 wrapText="1"/>
    </x:xf>
    <x:xf numFmtId="203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6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0ebded95b4d63" /><Relationship Type="http://schemas.openxmlformats.org/officeDocument/2006/relationships/theme" Target="/xl/theme/theme1.xml" Id="Rfc82bd6efb0449d1" /><Relationship Type="http://schemas.openxmlformats.org/officeDocument/2006/relationships/sharedStrings" Target="/xl/sharedStrings.xml" Id="Rf2116b70f50a4654" /><Relationship Type="http://schemas.openxmlformats.org/officeDocument/2006/relationships/worksheet" Target="/xl/worksheets/sheet1.xml" Id="R4f41e3b88a0f4845" /><Relationship Type="http://schemas.openxmlformats.org/officeDocument/2006/relationships/worksheet" Target="/xl/worksheets/sheet2.xml" Id="R64f628bea4db46ac" /><Relationship Type="http://schemas.openxmlformats.org/officeDocument/2006/relationships/worksheet" Target="/xl/worksheets/sheet3.xml" Id="Rd8ad5a88a73847cd" /><Relationship Type="http://schemas.openxmlformats.org/officeDocument/2006/relationships/worksheet" Target="/xl/worksheets/sheet4.xml" Id="R26844846c6e8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4" t="str">
        <x:v>Chapter 4 | System observation metrics</x:v>
      </x:c>
      <x:c r="B1" s="4" t="str">
        <x:v>Chapter 4 | System observation metrics</x:v>
      </x:c>
      <x:c r="C1" s="4" t="str">
        <x:v>Chapter 4 | System observation metrics</x:v>
      </x:c>
      <x:c r="D1" s="4" t="str">
        <x:v>Chapter 4 | System observation metrics</x:v>
      </x:c>
      <x:c r="E1" s="4" t="str">
        <x:v>Chapter 4 | System observation metrics</x:v>
      </x:c>
      <x:c r="F1" s="4" t="str">
        <x:v>Chapter 4 | System observation metrics</x:v>
      </x:c>
      <x:c r="G1" s="4" t="str">
        <x:v>Chapter 4 | System observation metrics</x:v>
      </x:c>
      <x:c r="H1" s="4" t="str">
        <x:v>Chapter 4 | System observation metrics</x:v>
      </x:c>
    </x:row>
    <x:row r="2" ht="35" customHeight="1">
      <x:c r="A2" s="5" t="str">
        <x:v>12-13 August 2026 | 40 + 30 reported participants | 70 successful entry trials per mode</x:v>
      </x:c>
      <x:c r="B2" s="5" t="str">
        <x:v>12-13 August 2026 | 40 + 30 reported participants | 70 successful entry trials per mode</x:v>
      </x:c>
      <x:c r="C2" s="5" t="str">
        <x:v>12-13 August 2026 | 40 + 30 reported participants | 70 successful entry trials per mode</x:v>
      </x:c>
      <x:c r="D2" s="5" t="str">
        <x:v>12-13 August 2026 | 40 + 30 reported participants | 70 successful entry trials per mode</x:v>
      </x:c>
      <x:c r="E2" s="5" t="str">
        <x:v>12-13 August 2026 | 40 + 30 reported participants | 70 successful entry trials per mode</x:v>
      </x:c>
      <x:c r="F2" s="5" t="str">
        <x:v>12-13 August 2026 | 40 + 30 reported participants | 70 successful entry trials per mode</x:v>
      </x:c>
      <x:c r="G2" s="5" t="str">
        <x:v>12-13 August 2026 | 40 + 30 reported participants | 70 successful entry trials per mode</x:v>
      </x:c>
      <x:c r="H2" s="5" t="str">
        <x:v>12-13 August 2026 | 40 + 30 reported participants | 70 successful entry trials per mode</x:v>
      </x:c>
    </x:row>
    <x:row r="3" ht="35" customHeight="1">
      <x:c r="A3" s="5" t="str">
        <x:v>Researcher-labelled credential outcomes and 70 manual writing durations added. Timing boundaries differ; no matched speed-improvement ratio is claimed.</x:v>
      </x:c>
      <x:c r="B3" s="5" t="str">
        <x:v>Researcher-labelled credential outcomes and 70 manual writing durations added. Timing boundaries differ; no matched speed-improvement ratio is claimed.</x:v>
      </x:c>
      <x:c r="C3" s="5" t="str">
        <x:v>Researcher-labelled credential outcomes and 70 manual writing durations added. Timing boundaries differ; no matched speed-improvement ratio is claimed.</x:v>
      </x:c>
      <x:c r="D3" s="5" t="str">
        <x:v>Researcher-labelled credential outcomes and 70 manual writing durations added. Timing boundaries differ; no matched speed-improvement ratio is claimed.</x:v>
      </x:c>
      <x:c r="E3" s="5" t="str">
        <x:v>Researcher-labelled credential outcomes and 70 manual writing durations added. Timing boundaries differ; no matched speed-improvement ratio is claimed.</x:v>
      </x:c>
      <x:c r="F3" s="5" t="str">
        <x:v>Researcher-labelled credential outcomes and 70 manual writing durations added. Timing boundaries differ; no matched speed-improvement ratio is claimed.</x:v>
      </x:c>
      <x:c r="G3" s="5" t="str">
        <x:v>Researcher-labelled credential outcomes and 70 manual writing durations added. Timing boundaries differ; no matched speed-improvement ratio is claimed.</x:v>
      </x:c>
      <x:c r="H3" s="5" t="str">
        <x:v>Researcher-labelled credential outcomes and 70 manual writing durations added. Timing boundaries differ; no matched speed-improvement ratio is claimed.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4" t="str">
        <x:v>Record reconciliation</x:v>
      </x:c>
      <x:c r="B5" s="4" t="str">
        <x:v>Record reconciliation</x:v>
      </x:c>
      <x:c r="C5" s="4" t="str">
        <x:v>Record reconciliation</x:v>
      </x:c>
      <x:c r="D5" s="4" t="str">
        <x:v>Record reconciliation</x:v>
      </x:c>
      <x:c r="E5" s="4" t="str">
        <x:v>Record reconciliation</x:v>
      </x:c>
      <x:c r="F5" s="4" t="str">
        <x:v>Record reconciliation</x:v>
      </x:c>
      <x:c r="G5" s="4" t="str">
        <x:v>Record reconciliation</x:v>
      </x:c>
      <x:c r="H5" s="4" t="str">
        <x:v>Record reconciliation</x:v>
      </x:c>
    </x:row>
    <x:row r="6" ht="44" customHeight="1">
      <x:c r="A6" s="8" t="str">
        <x:v>Mode</x:v>
      </x:c>
      <x:c r="B6" s="8" t="str">
        <x:v>Successful entries</x:v>
      </x:c>
      <x:c r="C6" s="8" t="str">
        <x:v>Reset exits</x:v>
      </x:c>
      <x:c r="D6" s="8" t="str">
        <x:v>Denied records</x:v>
      </x:c>
      <x:c r="E6" s="8" t="str">
        <x:v>Total records</x:v>
      </x:c>
      <x:c r="F6" s="8" t="str">
        <x:v>Batch 1 entries</x:v>
      </x:c>
      <x:c r="G6" s="8" t="str">
        <x:v>Batch 2 entries</x:v>
      </x:c>
      <x:c r="H6" s="8" t="str">
        <x:v>Card profiles</x:v>
      </x:c>
    </x:row>
    <x:row r="7" ht="23" customHeight="1">
      <x:c r="A7" s="1" t="str">
        <x:v>Fast</x:v>
      </x:c>
      <x:c r="B7" s="2" t="n">
        <x:f>COUNTIFS(RawRecords!$D$7:$D$444,A7,RawRecords!$S$7:$S$444,"Successful entry")</x:f>
        <x:v>70</x:v>
      </x:c>
      <x:c r="C7" s="2" t="n">
        <x:f>COUNTIFS(RawRecords!$D$7:$D$444,A7,RawRecords!$S$7:$S$444,"Reset exit")</x:f>
        <x:v>70</x:v>
      </x:c>
      <x:c r="D7" s="2" t="n">
        <x:f>COUNTIFS(RawRecords!$D$7:$D$444,A7,RawRecords!$S$7:$S$444,"Denied record")</x:f>
        <x:v>2</x:v>
      </x:c>
      <x:c r="E7" s="2" t="n">
        <x:f>SUM(B7:D7)</x:f>
        <x:v>142</x:v>
      </x:c>
      <x:c r="F7" s="2" t="n">
        <x:f>COUNTIFS(RawRecords!$D$7:$D$444,A7,RawRecords!$S$7:$S$444,"Successful entry",RawRecords!$P$7:$P$444,1)</x:f>
        <x:v>40</x:v>
      </x:c>
      <x:c r="G7" s="2" t="n">
        <x:f>COUNTIFS(RawRecords!$D$7:$D$444,A7,RawRecords!$S$7:$S$444,"Successful entry",RawRecords!$P$7:$P$444,2)</x:f>
        <x:v>30</x:v>
      </x:c>
      <x:c r="H7" s="2" t="n">
        <x:v>20</x:v>
      </x:c>
    </x:row>
    <x:row r="8" ht="23" customHeight="1">
      <x:c r="A8" s="1" t="str">
        <x:v>Standard</x:v>
      </x:c>
      <x:c r="B8" s="2" t="n">
        <x:f>COUNTIFS(RawRecords!$D$7:$D$444,A8,RawRecords!$S$7:$S$444,"Successful entry")</x:f>
        <x:v>70</x:v>
      </x:c>
      <x:c r="C8" s="2" t="n">
        <x:f>COUNTIFS(RawRecords!$D$7:$D$444,A8,RawRecords!$S$7:$S$444,"Reset exit")</x:f>
        <x:v>70</x:v>
      </x:c>
      <x:c r="D8" s="2" t="n">
        <x:f>COUNTIFS(RawRecords!$D$7:$D$444,A8,RawRecords!$S$7:$S$444,"Denied record")</x:f>
        <x:v>12</x:v>
      </x:c>
      <x:c r="E8" s="2" t="n">
        <x:f>SUM(B8:D8)</x:f>
        <x:v>152</x:v>
      </x:c>
      <x:c r="F8" s="2" t="n">
        <x:f>COUNTIFS(RawRecords!$D$7:$D$444,A8,RawRecords!$S$7:$S$444,"Successful entry",RawRecords!$P$7:$P$444,1)</x:f>
        <x:v>40</x:v>
      </x:c>
      <x:c r="G8" s="2" t="n">
        <x:f>COUNTIFS(RawRecords!$D$7:$D$444,A8,RawRecords!$S$7:$S$444,"Successful entry",RawRecords!$P$7:$P$444,2)</x:f>
        <x:v>30</x:v>
      </x:c>
      <x:c r="H8" s="2" t="n">
        <x:v>20</x:v>
      </x:c>
    </x:row>
    <x:row r="9" ht="23" customHeight="1">
      <x:c r="A9" s="1" t="str">
        <x:v>HighSecurity</x:v>
      </x:c>
      <x:c r="B9" s="2" t="n">
        <x:f>COUNTIFS(RawRecords!$D$7:$D$444,A9,RawRecords!$S$7:$S$444,"Successful entry")</x:f>
        <x:v>70</x:v>
      </x:c>
      <x:c r="C9" s="2" t="n">
        <x:f>COUNTIFS(RawRecords!$D$7:$D$444,A9,RawRecords!$S$7:$S$444,"Reset exit")</x:f>
        <x:v>70</x:v>
      </x:c>
      <x:c r="D9" s="2" t="n">
        <x:f>COUNTIFS(RawRecords!$D$7:$D$444,A9,RawRecords!$S$7:$S$444,"Denied record")</x:f>
        <x:v>4</x:v>
      </x:c>
      <x:c r="E9" s="2" t="n">
        <x:f>SUM(B9:D9)</x:f>
        <x:v>144</x:v>
      </x:c>
      <x:c r="F9" s="2" t="n">
        <x:f>COUNTIFS(RawRecords!$D$7:$D$444,A9,RawRecords!$S$7:$S$444,"Successful entry",RawRecords!$P$7:$P$444,1)</x:f>
        <x:v>40</x:v>
      </x:c>
      <x:c r="G9" s="2" t="n">
        <x:f>COUNTIFS(RawRecords!$D$7:$D$444,A9,RawRecords!$S$7:$S$444,"Successful entry",RawRecords!$P$7:$P$444,2)</x:f>
        <x:v>30</x:v>
      </x:c>
      <x:c r="H9" s="2" t="n">
        <x:v>20</x:v>
      </x:c>
    </x:row>
    <x:row r="10" ht="23" customHeight="1">
      <x:c r="A10" s="18" t="str">
        <x:v>Total</x:v>
      </x:c>
      <x:c r="B10" s="19" t="n">
        <x:f>SUM(B7:B9)</x:f>
        <x:v>210</x:v>
      </x:c>
      <x:c r="C10" s="19" t="n">
        <x:f>SUM(C7:C9)</x:f>
        <x:v>210</x:v>
      </x:c>
      <x:c r="D10" s="19" t="n">
        <x:f>SUM(D7:D9)</x:f>
        <x:v>18</x:v>
      </x:c>
      <x:c r="E10" s="19" t="n">
        <x:f>SUM(E7:E9)</x:f>
        <x:v>438</x:v>
      </x:c>
      <x:c r="F10" s="19" t="n">
        <x:f>SUM(F7:F9)</x:f>
        <x:v>120</x:v>
      </x:c>
      <x:c r="G10" s="19" t="n">
        <x:f>SUM(G7:G9)</x:f>
        <x:v>90</x:v>
      </x:c>
      <x:c r="H10" s="19"/>
    </x:row>
    <x:row r="11" ht="35" customHeight="1">
      <x:c r="A11" s="5" t="str">
        <x:v>210 entry trials represent 70 reported people tested in three modes, not 210 unique people. Twenty card profiles were reused.</x:v>
      </x:c>
      <x:c r="B11" s="20" t="str">
        <x:v>210 entry trials represent 70 reported people tested in three modes, not 210 unique people. Twenty card profiles were reused.</x:v>
      </x:c>
      <x:c r="C11" s="20" t="str">
        <x:v>210 entry trials represent 70 reported people tested in three modes, not 210 unique people. Twenty card profiles were reused.</x:v>
      </x:c>
      <x:c r="D11" s="20" t="str">
        <x:v>210 entry trials represent 70 reported people tested in three modes, not 210 unique people. Twenty card profiles were reused.</x:v>
      </x:c>
      <x:c r="E11" s="20" t="str">
        <x:v>210 entry trials represent 70 reported people tested in three modes, not 210 unique people. Twenty card profiles were reused.</x:v>
      </x:c>
      <x:c r="F11" s="20" t="str">
        <x:v>210 entry trials represent 70 reported people tested in three modes, not 210 unique people. Twenty card profiles were reused.</x:v>
      </x:c>
      <x:c r="G11" s="20" t="str">
        <x:v>210 entry trials represent 70 reported people tested in three modes, not 210 unique people. Twenty card profiles were reused.</x:v>
      </x:c>
      <x:c r="H11" s="20" t="str">
        <x:v>210 entry trials represent 70 reported people tested in three modes, not 210 unique people. Twenty card profiles were reused.</x:v>
      </x:c>
    </x:row>
    <x:row r="12" ht="23" customHeight="1">
      <x:c r="A12" s="1"/>
      <x:c r="B12" s="2"/>
      <x:c r="C12" s="2"/>
      <x:c r="D12" s="2"/>
      <x:c r="E12" s="2"/>
      <x:c r="F12" s="2"/>
      <x:c r="G12" s="2"/>
      <x:c r="H12" s="2"/>
    </x:row>
    <x:row r="13" ht="30" customHeight="1">
      <x:c r="A13" s="4" t="str">
        <x:v>Measured internal latency | successful entries only</x:v>
      </x:c>
      <x:c r="B13" s="22" t="str">
        <x:v>Measured internal latency | successful entries only</x:v>
      </x:c>
      <x:c r="C13" s="22" t="str">
        <x:v>Measured internal latency | successful entries only</x:v>
      </x:c>
      <x:c r="D13" s="22" t="str">
        <x:v>Measured internal latency | successful entries only</x:v>
      </x:c>
      <x:c r="E13" s="22" t="str">
        <x:v>Measured internal latency | successful entries only</x:v>
      </x:c>
      <x:c r="F13" s="22" t="str">
        <x:v>Measured internal latency | successful entries only</x:v>
      </x:c>
      <x:c r="G13" s="22" t="str">
        <x:v>Measured internal latency | successful entries only</x:v>
      </x:c>
      <x:c r="H13" s="22" t="str">
        <x:v>Measured internal latency | successful entries only</x:v>
      </x:c>
    </x:row>
    <x:row r="14" ht="44" customHeight="1">
      <x:c r="A14" s="8" t="str">
        <x:v>Mode</x:v>
      </x:c>
      <x:c r="B14" s="25" t="str">
        <x:v>n</x:v>
      </x:c>
      <x:c r="C14" s="25" t="str">
        <x:v>Mean system (ms)</x:v>
      </x:c>
      <x:c r="D14" s="25" t="str">
        <x:v>Median system (ms)</x:v>
      </x:c>
      <x:c r="E14" s="25" t="str">
        <x:v>Sample SD (ms)</x:v>
      </x:c>
      <x:c r="F14" s="25" t="str">
        <x:v>Mean DB (ms)</x:v>
      </x:c>
      <x:c r="G14" s="25" t="str">
        <x:v>Minimum system (ms)</x:v>
      </x:c>
      <x:c r="H14" s="25" t="str">
        <x:v>Maximum system (ms)</x:v>
      </x:c>
    </x:row>
    <x:row r="15" ht="23" customHeight="1">
      <x:c r="A15" s="1" t="str">
        <x:v>Fast</x:v>
      </x:c>
      <x:c r="B15" s="2" t="n">
        <x:f>COUNT(Measurements!J23:J92)</x:f>
        <x:v>70</x:v>
      </x:c>
      <x:c r="C15" s="26" t="n">
        <x:f>AVERAGE(Measurements!J23:J92)</x:f>
        <x:v>11.490885714285719</x:v>
      </x:c>
      <x:c r="D15" s="26" t="n">
        <x:f>MEDIAN(Measurements!J23:J92)</x:f>
        <x:v>11.30035</x:v>
      </x:c>
      <x:c r="E15" s="26" t="n">
        <x:f>STDEV(Measurements!J23:J92)</x:f>
        <x:v>2.202324627789866</x:v>
      </x:c>
      <x:c r="F15" s="26" t="n">
        <x:f>AVERAGE(Measurements!K23:K92)</x:f>
        <x:v>2.8796628571428564</x:v>
      </x:c>
      <x:c r="G15" s="26" t="n">
        <x:f>MIN(Measurements!J23:J92)</x:f>
        <x:v>8.2594</x:v>
      </x:c>
      <x:c r="H15" s="26" t="n">
        <x:f>MAX(Measurements!J23:J92)</x:f>
        <x:v>26.3563</x:v>
      </x:c>
    </x:row>
    <x:row r="16" ht="23" customHeight="1">
      <x:c r="A16" s="1" t="str">
        <x:v>Standard</x:v>
      </x:c>
      <x:c r="B16" s="2" t="n">
        <x:f>COUNT(Measurements!J93:J162)</x:f>
        <x:v>70</x:v>
      </x:c>
      <x:c r="C16" s="26" t="n">
        <x:f>AVERAGE(Measurements!J93:J162)</x:f>
        <x:v>57.37226428571427</x:v>
      </x:c>
      <x:c r="D16" s="26" t="n">
        <x:f>MEDIAN(Measurements!J93:J162)</x:f>
        <x:v>50.662400000000005</x:v>
      </x:c>
      <x:c r="E16" s="26" t="n">
        <x:f>STDEV(Measurements!J93:J162)</x:f>
        <x:v>17.460249260476818</x:v>
      </x:c>
      <x:c r="F16" s="26" t="n">
        <x:f>AVERAGE(Measurements!K93:K162)</x:f>
        <x:v>47.947532857142846</x:v>
      </x:c>
      <x:c r="G16" s="26" t="n">
        <x:f>MIN(Measurements!J93:J162)</x:f>
        <x:v>44.5535</x:v>
      </x:c>
      <x:c r="H16" s="26" t="n">
        <x:f>MAX(Measurements!J93:J162)</x:f>
        <x:v>137.4737</x:v>
      </x:c>
    </x:row>
    <x:row r="17" ht="23" customHeight="1">
      <x:c r="A17" s="1" t="str">
        <x:v>HighSecurity</x:v>
      </x:c>
      <x:c r="B17" s="2" t="n">
        <x:f>COUNT(Measurements!J163:J232)</x:f>
        <x:v>70</x:v>
      </x:c>
      <x:c r="C17" s="26" t="n">
        <x:f>AVERAGE(Measurements!J163:J232)</x:f>
        <x:v>54.064548571428574</x:v>
      </x:c>
      <x:c r="D17" s="26" t="n">
        <x:f>MEDIAN(Measurements!J163:J232)</x:f>
        <x:v>52.63745</x:v>
      </x:c>
      <x:c r="E17" s="26" t="n">
        <x:f>STDEV(Measurements!J163:J232)</x:f>
        <x:v>6.343830481673934</x:v>
      </x:c>
      <x:c r="F17" s="26" t="n">
        <x:f>AVERAGE(Measurements!K163:K232)</x:f>
        <x:v>44.90095999999998</x:v>
      </x:c>
      <x:c r="G17" s="26" t="n">
        <x:f>MIN(Measurements!J163:J232)</x:f>
        <x:v>49.4429</x:v>
      </x:c>
      <x:c r="H17" s="26" t="n">
        <x:f>MAX(Measurements!J163:J232)</x:f>
        <x:v>86.3615</x:v>
      </x:c>
    </x:row>
    <x:row r="18" ht="35" customHeight="1">
      <x:c r="A18" s="5" t="str">
        <x:v>DB query time overlaps internal component timing. Do not add DB time to total system latency. These are not full student transaction times.</x:v>
      </x:c>
      <x:c r="B18" s="20" t="str">
        <x:v>DB query time overlaps internal component timing. Do not add DB time to total system latency. These are not full student transaction times.</x:v>
      </x:c>
      <x:c r="C18" s="20" t="str">
        <x:v>DB query time overlaps internal component timing. Do not add DB time to total system latency. These are not full student transaction times.</x:v>
      </x:c>
      <x:c r="D18" s="20" t="str">
        <x:v>DB query time overlaps internal component timing. Do not add DB time to total system latency. These are not full student transaction times.</x:v>
      </x:c>
      <x:c r="E18" s="20" t="str">
        <x:v>DB query time overlaps internal component timing. Do not add DB time to total system latency. These are not full student transaction times.</x:v>
      </x:c>
      <x:c r="F18" s="20" t="str">
        <x:v>DB query time overlaps internal component timing. Do not add DB time to total system latency. These are not full student transaction times.</x:v>
      </x:c>
      <x:c r="G18" s="20" t="str">
        <x:v>DB query time overlaps internal component timing. Do not add DB time to total system latency. These are not full student transaction times.</x:v>
      </x:c>
      <x:c r="H18" s="20" t="str">
        <x:v>DB query time overlaps internal component timing. Do not add DB time to total system latency. These are not full student transaction times.</x:v>
      </x:c>
    </x:row>
    <x:row r="19" ht="23" customHeight="1">
      <x:c r="A19" s="1"/>
      <x:c r="B19" s="2"/>
      <x:c r="C19" s="2"/>
      <x:c r="D19" s="2"/>
      <x:c r="E19" s="2"/>
      <x:c r="F19" s="2"/>
      <x:c r="G19" s="2"/>
      <x:c r="H19" s="2"/>
    </x:row>
    <x:row r="20" ht="30" customHeight="1">
      <x:c r="A20" s="4" t="str">
        <x:v>Recorded PIN/QR interaction | successful entries only</x:v>
      </x:c>
      <x:c r="B20" s="22" t="str">
        <x:v>Recorded PIN/QR interaction | successful entries only</x:v>
      </x:c>
      <x:c r="C20" s="22" t="str">
        <x:v>Recorded PIN/QR interaction | successful entries only</x:v>
      </x:c>
      <x:c r="D20" s="22" t="str">
        <x:v>Recorded PIN/QR interaction | successful entries only</x:v>
      </x:c>
      <x:c r="E20" s="22" t="str">
        <x:v>Recorded PIN/QR interaction | successful entries only</x:v>
      </x:c>
      <x:c r="F20" s="22" t="str">
        <x:v>Recorded PIN/QR interaction | successful entries only</x:v>
      </x:c>
      <x:c r="G20" s="22" t="str">
        <x:v>Recorded PIN/QR interaction | successful entries only</x:v>
      </x:c>
      <x:c r="H20" s="22" t="str">
        <x:v>Recorded PIN/QR interaction | successful entries only</x:v>
      </x:c>
    </x:row>
    <x:row r="21" ht="44" customHeight="1">
      <x:c r="A21" s="8" t="str">
        <x:v>Mode</x:v>
      </x:c>
      <x:c r="B21" s="25" t="str">
        <x:v>n timed</x:v>
      </x:c>
      <x:c r="C21" s="25" t="str">
        <x:v>Mean PIN (s)</x:v>
      </x:c>
      <x:c r="D21" s="25" t="str">
        <x:v>Mean QR (s)</x:v>
      </x:c>
      <x:c r="E21" s="25" t="str">
        <x:v>Mean total (s)</x:v>
      </x:c>
      <x:c r="F21" s="25" t="str">
        <x:v>Median total (s)</x:v>
      </x:c>
      <x:c r="G21" s="25" t="str">
        <x:v>Sample SD (s)</x:v>
      </x:c>
      <x:c r="H21" s="25" t="str">
        <x:v>Maximum total (s)</x:v>
      </x:c>
    </x:row>
    <x:row r="22" ht="23" customHeight="1">
      <x:c r="A22" s="1" t="str">
        <x:v>Fast</x:v>
      </x:c>
      <x:c r="B22" s="2" t="n">
        <x:f>COUNT(Measurements!I23:I92)</x:f>
        <x:v>0</x:v>
      </x:c>
      <x:c r="C22" s="27" t="str">
        <x:v>N/A</x:v>
      </x:c>
      <x:c r="D22" s="27" t="str">
        <x:v>N/A</x:v>
      </x:c>
      <x:c r="E22" s="27" t="str">
        <x:v>N/A</x:v>
      </x:c>
      <x:c r="F22" s="27" t="str">
        <x:v>N/A</x:v>
      </x:c>
      <x:c r="G22" s="27" t="str">
        <x:v>N/A</x:v>
      </x:c>
      <x:c r="H22" s="27" t="str">
        <x:v>N/A</x:v>
      </x:c>
    </x:row>
    <x:row r="23" ht="23" customHeight="1">
      <x:c r="A23" s="1" t="str">
        <x:v>Standard</x:v>
      </x:c>
      <x:c r="B23" s="2" t="n">
        <x:f>COUNT(Measurements!I93:I162)</x:f>
        <x:v>70</x:v>
      </x:c>
      <x:c r="C23" s="27" t="n">
        <x:f>AVERAGE(Measurements!E93:E162)/1000</x:f>
        <x:v>2.5047558728571415</x:v>
      </x:c>
      <x:c r="D23" s="27" t="str">
        <x:v>N/A</x:v>
      </x:c>
      <x:c r="E23" s="27" t="n">
        <x:f>AVERAGE(Measurements!I93:I162)/1000</x:f>
        <x:v>2.5047558728571415</x:v>
      </x:c>
      <x:c r="F23" s="27" t="n">
        <x:f>MEDIAN(Measurements!I93:I162)/1000</x:f>
        <x:v>2.03484645</x:v>
      </x:c>
      <x:c r="G23" s="27" t="n">
        <x:f>STDEV(Measurements!I93:I162)/1000</x:f>
        <x:v>1.1518235603006413</x:v>
      </x:c>
      <x:c r="H23" s="27" t="n">
        <x:f>MAX(Measurements!I93:I162)/1000</x:f>
        <x:v>6.8751125</x:v>
      </x:c>
    </x:row>
    <x:row r="24" ht="23" customHeight="1">
      <x:c r="A24" s="1" t="str">
        <x:v>HighSecurity</x:v>
      </x:c>
      <x:c r="B24" s="2" t="n">
        <x:f>COUNT(Measurements!I163:I232)</x:f>
        <x:v>70</x:v>
      </x:c>
      <x:c r="C24" s="27" t="n">
        <x:f>AVERAGE(Measurements!E163:E232)/1000</x:f>
        <x:v>2.1621977314285723</x:v>
      </x:c>
      <x:c r="D24" s="27" t="n">
        <x:f>AVERAGE(Measurements!G163:G232)/1000</x:f>
        <x:v>3.637131741428571</x:v>
      </x:c>
      <x:c r="E24" s="27" t="n">
        <x:f>AVERAGE(Measurements!I163:I232)/1000</x:f>
        <x:v>5.799329472857144</x:v>
      </x:c>
      <x:c r="F24" s="27" t="n">
        <x:f>MEDIAN(Measurements!I163:I232)/1000</x:f>
        <x:v>4.348332200000001</x:v>
      </x:c>
      <x:c r="G24" s="27" t="n">
        <x:f>STDEV(Measurements!I163:I232)/1000</x:f>
        <x:v>3.878102323372868</x:v>
      </x:c>
      <x:c r="H24" s="27" t="n">
        <x:f>MAX(Measurements!I163:I232)/1000</x:f>
        <x:v>22.604205699999998</x:v>
      </x:c>
    </x:row>
    <x:row r="25" ht="35" customHeight="1">
      <x:c r="A25" s="5" t="str">
        <x:v>Fast bypasses PIN/QR timing; N/A does not mean instantaneous entry. User timers omit some approach, prompt, transition and logging time.</x:v>
      </x:c>
      <x:c r="B25" s="20" t="str">
        <x:v>Fast bypasses PIN/QR timing; N/A does not mean instantaneous entry. User timers omit some approach, prompt, transition and logging time.</x:v>
      </x:c>
      <x:c r="C25" s="20" t="str">
        <x:v>Fast bypasses PIN/QR timing; N/A does not mean instantaneous entry. User timers omit some approach, prompt, transition and logging time.</x:v>
      </x:c>
      <x:c r="D25" s="20" t="str">
        <x:v>Fast bypasses PIN/QR timing; N/A does not mean instantaneous entry. User timers omit some approach, prompt, transition and logging time.</x:v>
      </x:c>
      <x:c r="E25" s="20" t="str">
        <x:v>Fast bypasses PIN/QR timing; N/A does not mean instantaneous entry. User timers omit some approach, prompt, transition and logging time.</x:v>
      </x:c>
      <x:c r="F25" s="20" t="str">
        <x:v>Fast bypasses PIN/QR timing; N/A does not mean instantaneous entry. User timers omit some approach, prompt, transition and logging time.</x:v>
      </x:c>
      <x:c r="G25" s="20" t="str">
        <x:v>Fast bypasses PIN/QR timing; N/A does not mean instantaneous entry. User timers omit some approach, prompt, transition and logging time.</x:v>
      </x:c>
      <x:c r="H25" s="20" t="str">
        <x:v>Fast bypasses PIN/QR timing; N/A does not mean instantaneous entry. User timers omit some approach, prompt, transition and logging time.</x:v>
      </x:c>
    </x:row>
    <x:row r="26" ht="23" customHeight="1">
      <x:c r="A26" s="1"/>
      <x:c r="B26" s="2"/>
      <x:c r="C26" s="2"/>
      <x:c r="D26" s="2"/>
      <x:c r="E26" s="2"/>
      <x:c r="F26" s="2"/>
      <x:c r="G26" s="2"/>
      <x:c r="H26" s="2"/>
    </x:row>
    <x:row r="27" ht="30" customHeight="1">
      <x:c r="A27" s="4" t="str">
        <x:v>Recorded-entry spacing | not stopwatch throughput</x:v>
      </x:c>
      <x:c r="B27" s="22" t="str">
        <x:v>Recorded-entry spacing | not stopwatch throughput</x:v>
      </x:c>
      <x:c r="C27" s="22" t="str">
        <x:v>Recorded-entry spacing | not stopwatch throughput</x:v>
      </x:c>
      <x:c r="D27" s="22" t="str">
        <x:v>Recorded-entry spacing | not stopwatch throughput</x:v>
      </x:c>
      <x:c r="E27" s="22" t="str">
        <x:v>Recorded-entry spacing | not stopwatch throughput</x:v>
      </x:c>
      <x:c r="F27" s="22" t="str">
        <x:v>Recorded-entry spacing | not stopwatch throughput</x:v>
      </x:c>
      <x:c r="G27" s="22" t="str">
        <x:v>Recorded-entry spacing | not stopwatch throughput</x:v>
      </x:c>
      <x:c r="H27" s="22" t="str">
        <x:v>Recorded-entry spacing | not stopwatch throughput</x:v>
      </x:c>
    </x:row>
    <x:row r="28" ht="44" customHeight="1">
      <x:c r="A28" s="8" t="str">
        <x:v>Mode</x:v>
      </x:c>
      <x:c r="B28" s="25" t="str">
        <x:v>Entry runs</x:v>
      </x:c>
      <x:c r="C28" s="25" t="str">
        <x:v>Intervals</x:v>
      </x:c>
      <x:c r="D28" s="25" t="str">
        <x:v>Summed span (s)</x:v>
      </x:c>
      <x:c r="E28" s="25" t="str">
        <x:v>Mean spacing (s)</x:v>
      </x:c>
      <x:c r="F28" s="25" t="str">
        <x:v>Rate (/min)</x:v>
      </x:c>
      <x:c r="G28" s="25" t="str">
        <x:v>Within-span denials</x:v>
      </x:c>
      <x:c r="H28" s="25" t="str">
        <x:v>Scope</x:v>
      </x:c>
    </x:row>
    <x:row r="29" ht="23" customHeight="1">
      <x:c r="A29" s="1" t="str">
        <x:v>Fast</x:v>
      </x:c>
      <x:c r="B29" s="2" t="n">
        <x:f>COUNTIF(Measurements!$B$6:$B$17,A29)</x:f>
        <x:v>4</x:v>
      </x:c>
      <x:c r="C29" s="2" t="n">
        <x:f>SUMIF(Measurements!$B$6:$B$17,A29,Measurements!$G$6:$G$17)</x:f>
        <x:v>66</x:v>
      </x:c>
      <x:c r="D29" s="27" t="n">
        <x:f>SUMIF(Measurements!$B$6:$B$17,A29,Measurements!$H$6:$H$17)</x:f>
        <x:v>180.1999995019287</x:v>
      </x:c>
      <x:c r="E29" s="27" t="n">
        <x:f>D29/C29</x:f>
        <x:v>2.730303022756495</x:v>
      </x:c>
      <x:c r="F29" s="27" t="n">
        <x:f>60*C29/D29</x:f>
        <x:v>21.97558274664488</x:v>
      </x:c>
      <x:c r="G29" s="2" t="n">
        <x:f>SUMIF(Measurements!$B$6:$B$17,A29,Measurements!$K$6:$K$17)</x:f>
        <x:v>2</x:v>
      </x:c>
      <x:c r="H29" s="2" t="str">
        <x:v>4 entry runs</x:v>
      </x:c>
    </x:row>
    <x:row r="30" ht="23" customHeight="1">
      <x:c r="A30" s="1" t="str">
        <x:v>Standard</x:v>
      </x:c>
      <x:c r="B30" s="2" t="n">
        <x:f>COUNTIF(Measurements!$B$6:$B$17,A30)</x:f>
        <x:v>4</x:v>
      </x:c>
      <x:c r="C30" s="2" t="n">
        <x:f>SUMIF(Measurements!$B$6:$B$17,A30,Measurements!$G$6:$G$17)</x:f>
        <x:v>66</x:v>
      </x:c>
      <x:c r="D30" s="27" t="n">
        <x:f>SUMIF(Measurements!$B$6:$B$17,A30,Measurements!$H$6:$H$17)</x:f>
        <x:v>531.1669992282987</x:v>
      </x:c>
      <x:c r="E30" s="27" t="n">
        <x:f>D30/C30</x:f>
        <x:v>8.047984836792404</x:v>
      </x:c>
      <x:c r="F30" s="27" t="n">
        <x:f>60*C30/D30</x:f>
        <x:v>7.455282436132612</x:v>
      </x:c>
      <x:c r="G30" s="2" t="n">
        <x:f>SUMIF(Measurements!$B$6:$B$17,A30,Measurements!$K$6:$K$17)</x:f>
        <x:v>8</x:v>
      </x:c>
      <x:c r="H30" s="2" t="str">
        <x:v>4 entry runs</x:v>
      </x:c>
    </x:row>
    <x:row r="31" ht="23" customHeight="1">
      <x:c r="A31" s="1" t="str">
        <x:v>HighSecurity</x:v>
      </x:c>
      <x:c r="B31" s="2" t="n">
        <x:f>COUNTIF(Measurements!$B$6:$B$17,A31)</x:f>
        <x:v>4</x:v>
      </x:c>
      <x:c r="C31" s="2" t="n">
        <x:f>SUMIF(Measurements!$B$6:$B$17,A31,Measurements!$G$6:$G$17)</x:f>
        <x:v>66</x:v>
      </x:c>
      <x:c r="D31" s="27" t="n">
        <x:f>SUMIF(Measurements!$B$6:$B$17,A31,Measurements!$H$6:$H$17)</x:f>
        <x:v>800.507998955436</x:v>
      </x:c>
      <x:c r="E31" s="27" t="n">
        <x:f>D31/C31</x:f>
        <x:v>12.128909075082364</x:v>
      </x:c>
      <x:c r="F31" s="27" t="n">
        <x:f>60*C31/D31</x:f>
        <x:v>4.946858751152156</x:v>
      </x:c>
      <x:c r="G31" s="2" t="n">
        <x:f>SUMIF(Measurements!$B$6:$B$17,A31,Measurements!$K$6:$K$17)</x:f>
        <x:v>3</x:v>
      </x:c>
      <x:c r="H31" s="2" t="str">
        <x:v>4 entry runs</x:v>
      </x:c>
    </x:row>
    <x:row r="32" ht="35" customHeight="1">
      <x:c r="A32" s="5" t="str">
        <x:v>66 observed intervals per mode: 19 + 19 + 19 + 9. Rate = 60 x summed intervals / summed spans. First-to-last spans do not time all 70 complete transactions.</x:v>
      </x:c>
      <x:c r="B32" s="20" t="str">
        <x:v>66 observed intervals per mode: 19 + 19 + 19 + 9. Rate = 60 x summed intervals / summed spans. First-to-last spans do not time all 70 complete transactions.</x:v>
      </x:c>
      <x:c r="C32" s="20" t="str">
        <x:v>66 observed intervals per mode: 19 + 19 + 19 + 9. Rate = 60 x summed intervals / summed spans. First-to-last spans do not time all 70 complete transactions.</x:v>
      </x:c>
      <x:c r="D32" s="20" t="str">
        <x:v>66 observed intervals per mode: 19 + 19 + 19 + 9. Rate = 60 x summed intervals / summed spans. First-to-last spans do not time all 70 complete transactions.</x:v>
      </x:c>
      <x:c r="E32" s="20" t="str">
        <x:v>66 observed intervals per mode: 19 + 19 + 19 + 9. Rate = 60 x summed intervals / summed spans. First-to-last spans do not time all 70 complete transactions.</x:v>
      </x:c>
      <x:c r="F32" s="20" t="str">
        <x:v>66 observed intervals per mode: 19 + 19 + 19 + 9. Rate = 60 x summed intervals / summed spans. First-to-last spans do not time all 70 complete transactions.</x:v>
      </x:c>
      <x:c r="G32" s="20" t="str">
        <x:v>66 observed intervals per mode: 19 + 19 + 19 + 9. Rate = 60 x summed intervals / summed spans. First-to-last spans do not time all 70 complete transactions.</x:v>
      </x:c>
      <x:c r="H32" s="20" t="str">
        <x:v>66 observed intervals per mode: 19 + 19 + 19 + 9. Rate = 60 x summed intervals / summed spans. First-to-last spans do not time all 70 complete transactions.</x:v>
      </x:c>
    </x:row>
    <x:row r="33" ht="23" customHeight="1">
      <x:c r="A33" s="1"/>
      <x:c r="B33" s="2"/>
      <x:c r="C33" s="2"/>
      <x:c r="D33" s="2"/>
      <x:c r="E33" s="2"/>
      <x:c r="F33" s="2"/>
      <x:c r="G33" s="2"/>
      <x:c r="H33" s="2"/>
    </x:row>
    <x:row r="34" ht="30" customHeight="1">
      <x:c r="A34" s="4" t="str">
        <x:v>Denied records | security outcomes, not accuracy</x:v>
      </x:c>
      <x:c r="B34" s="22" t="str">
        <x:v>Denied records | security outcomes, not accuracy</x:v>
      </x:c>
      <x:c r="C34" s="22" t="str">
        <x:v>Denied records | security outcomes, not accuracy</x:v>
      </x:c>
      <x:c r="D34" s="22" t="str">
        <x:v>Denied records | security outcomes, not accuracy</x:v>
      </x:c>
      <x:c r="E34" s="22" t="str">
        <x:v>Denied records | security outcomes, not accuracy</x:v>
      </x:c>
      <x:c r="F34" s="22" t="str">
        <x:v>Denied records | security outcomes, not accuracy</x:v>
      </x:c>
      <x:c r="G34" s="22" t="str">
        <x:v>Denied records | security outcomes, not accuracy</x:v>
      </x:c>
      <x:c r="H34" s="22" t="str">
        <x:v>Denied records | security outcomes, not accuracy</x:v>
      </x:c>
    </x:row>
    <x:row r="35" ht="44" customHeight="1">
      <x:c r="A35" s="8" t="str">
        <x:v>Logged verdict</x:v>
      </x:c>
      <x:c r="B35" s="25" t="str">
        <x:v>Count</x:v>
      </x:c>
      <x:c r="C35" s="28" t="str">
        <x:v>Interpretation</x:v>
      </x:c>
      <x:c r="D35" s="29"/>
      <x:c r="E35" s="29"/>
      <x:c r="F35" s="29"/>
      <x:c r="G35" s="29"/>
      <x:c r="H35" s="29"/>
    </x:row>
    <x:row r="36" ht="35" customHeight="1">
      <x:c r="A36" s="5" t="str">
        <x:v>PIN failure</x:v>
      </x:c>
      <x:c r="B36" s="2" t="n">
        <x:f>COUNTIF(RawRecords!$E$7:$E$444,"DENIED [PIN_FAILURE]")</x:f>
        <x:v>8</x:v>
      </x:c>
      <x:c r="C36" s="29" t="str">
        <x:v>Researcher-confirmed expected invalid-condition rejection.</x:v>
      </x:c>
      <x:c r="D36" s="29"/>
      <x:c r="E36" s="29"/>
      <x:c r="F36" s="29"/>
      <x:c r="G36" s="29"/>
      <x:c r="H36" s="29"/>
    </x:row>
    <x:row r="37" ht="35" customHeight="1">
      <x:c r="A37" s="5" t="str">
        <x:v>Anti-tailgating violation</x:v>
      </x:c>
      <x:c r="B37" s="2" t="n">
        <x:f>COUNTIF(RawRecords!$E$7:$E$444,"DENIED [ANTI_TAILGATING_VIOLATION]")</x:f>
        <x:v>5</x:v>
      </x:c>
      <x:c r="C37" s="29" t="str">
        <x:v>Researcher-confirmed expected invalid-condition rejection.</x:v>
      </x:c>
      <x:c r="D37" s="29"/>
      <x:c r="E37" s="29"/>
      <x:c r="F37" s="29"/>
      <x:c r="G37" s="29"/>
      <x:c r="H37" s="29"/>
    </x:row>
    <x:row r="38" ht="35" customHeight="1">
      <x:c r="A38" s="5" t="str">
        <x:v>PIN locked</x:v>
      </x:c>
      <x:c r="B38" s="2" t="n">
        <x:f>COUNTIF(RawRecords!$E$7:$E$444,"DENIED [PIN_LOCKED]")</x:f>
        <x:v>2</x:v>
      </x:c>
      <x:c r="C38" s="29" t="str">
        <x:v>Researcher-confirmed expected invalid-condition rejection.</x:v>
      </x:c>
      <x:c r="D38" s="29"/>
      <x:c r="E38" s="29"/>
      <x:c r="F38" s="29"/>
      <x:c r="G38" s="29"/>
      <x:c r="H38" s="29"/>
    </x:row>
    <x:row r="39" ht="35" customHeight="1">
      <x:c r="A39" s="5" t="str">
        <x:v>QR replacement / mismatch</x:v>
      </x:c>
      <x:c r="B39" s="2" t="n">
        <x:f>COUNTIF(RawRecords!$E$7:$E$444,"DENIED [QR_REPLACED_OR_MISMATCH]")</x:f>
        <x:v>2</x:v>
      </x:c>
      <x:c r="C39" s="29" t="str">
        <x:v>Researcher-confirmed expected invalid-condition rejection.</x:v>
      </x:c>
      <x:c r="D39" s="29"/>
      <x:c r="E39" s="29"/>
      <x:c r="F39" s="29"/>
      <x:c r="G39" s="29"/>
      <x:c r="H39" s="29"/>
    </x:row>
    <x:row r="40" ht="35" customHeight="1">
      <x:c r="A40" s="5" t="str">
        <x:v>Irregular exit sequence</x:v>
      </x:c>
      <x:c r="B40" s="2" t="n">
        <x:f>COUNTIF(RawRecords!$E$7:$E$444,"DENIED [IRREGULAR_EXIT_SEQUENCE]")</x:f>
        <x:v>1</x:v>
      </x:c>
      <x:c r="C40" s="29" t="str">
        <x:v>Researcher-confirmed expected invalid-condition rejection.</x:v>
      </x:c>
      <x:c r="D40" s="29"/>
      <x:c r="E40" s="29"/>
      <x:c r="F40" s="29"/>
      <x:c r="G40" s="29"/>
      <x:c r="H40" s="29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30" customHeight="1">
      <x:c r="A42" s="4" t="str">
        <x:v>Reporting limits and provenance</x:v>
      </x:c>
      <x:c r="B42" s="4" t="str">
        <x:v>Reporting limits and provenance</x:v>
      </x:c>
      <x:c r="C42" s="4" t="str">
        <x:v>Reporting limits and provenance</x:v>
      </x:c>
      <x:c r="D42" s="4" t="str">
        <x:v>Reporting limits and provenance</x:v>
      </x:c>
      <x:c r="E42" s="4" t="str">
        <x:v>Reporting limits and provenance</x:v>
      </x:c>
      <x:c r="F42" s="4" t="str">
        <x:v>Reporting limits and provenance</x:v>
      </x:c>
      <x:c r="G42" s="4" t="str">
        <x:v>Reporting limits and provenance</x:v>
      </x:c>
      <x:c r="H42" s="4" t="str">
        <x:v>Reporting limits and provenance</x:v>
      </x:c>
    </x:row>
    <x:row r="43" ht="35" customHeight="1">
      <x:c r="A43" s="5" t="str">
        <x:v>Observed credential accuracy uses 222 researcher-labelled recorded decisions; it does not establish unique real-person identity or universal accuracy.</x:v>
      </x:c>
      <x:c r="B43" s="5" t="str">
        <x:v>Observed credential accuracy uses 222 researcher-labelled recorded decisions; it does not establish unique real-person identity or universal accuracy.</x:v>
      </x:c>
      <x:c r="C43" s="5" t="str">
        <x:v>Observed credential accuracy uses 222 researcher-labelled recorded decisions; it does not establish unique real-person identity or universal accuracy.</x:v>
      </x:c>
      <x:c r="D43" s="5" t="str">
        <x:v>Observed credential accuracy uses 222 researcher-labelled recorded decisions; it does not establish unique real-person identity or universal accuracy.</x:v>
      </x:c>
      <x:c r="E43" s="5" t="str">
        <x:v>Observed credential accuracy uses 222 researcher-labelled recorded decisions; it does not establish unique real-person identity or universal accuracy.</x:v>
      </x:c>
      <x:c r="F43" s="5" t="str">
        <x:v>Observed credential accuracy uses 222 researcher-labelled recorded decisions; it does not establish unique real-person identity or universal accuracy.</x:v>
      </x:c>
      <x:c r="G43" s="5" t="str">
        <x:v>Observed credential accuracy uses 222 researcher-labelled recorded decisions; it does not establish unique real-person identity or universal accuracy.</x:v>
      </x:c>
      <x:c r="H43" s="5" t="str">
        <x:v>Observed credential accuracy uses 222 researcher-labelled recorded decisions; it does not establish unique real-person identity or universal accuracy.</x:v>
      </x:c>
    </x:row>
    <x:row r="44" ht="35" customHeight="1">
      <x:c r="A44" s="5" t="str">
        <x:v>Exits were operator-assisted resets for card reuse; they are retained but excluded from the participant entry timing summaries.</x:v>
      </x:c>
      <x:c r="B44" s="5" t="str">
        <x:v>Exits were operator-assisted resets for card reuse; they are retained but excluded from the participant entry timing summaries.</x:v>
      </x:c>
      <x:c r="C44" s="5" t="str">
        <x:v>Exits were operator-assisted resets for card reuse; they are retained but excluded from the participant entry timing summaries.</x:v>
      </x:c>
      <x:c r="D44" s="5" t="str">
        <x:v>Exits were operator-assisted resets for card reuse; they are retained but excluded from the participant entry timing summaries.</x:v>
      </x:c>
      <x:c r="E44" s="5" t="str">
        <x:v>Exits were operator-assisted resets for card reuse; they are retained but excluded from the participant entry timing summaries.</x:v>
      </x:c>
      <x:c r="F44" s="5" t="str">
        <x:v>Exits were operator-assisted resets for card reuse; they are retained but excluded from the participant entry timing summaries.</x:v>
      </x:c>
      <x:c r="G44" s="5" t="str">
        <x:v>Exits were operator-assisted resets for card reuse; they are retained but excluded from the participant entry timing summaries.</x:v>
      </x:c>
      <x:c r="H44" s="5" t="str">
        <x:v>Exits were operator-assisted resets for card reuse; they are retained but excluded from the participant entry timing summaries.</x:v>
      </x:c>
    </x:row>
    <x:row r="45" ht="35" customHeight="1">
      <x:c r="A45" s="5" t="str">
        <x:v>Modes were always Fast -&gt; Standard -&gt; HighSecurity. Practice and order effects were not controlled; results are descriptive, not causal.</x:v>
      </x:c>
      <x:c r="B45" s="5" t="str">
        <x:v>Modes were always Fast -&gt; Standard -&gt; HighSecurity. Practice and order effects were not controlled; results are descriptive, not causal.</x:v>
      </x:c>
      <x:c r="C45" s="5" t="str">
        <x:v>Modes were always Fast -&gt; Standard -&gt; HighSecurity. Practice and order effects were not controlled; results are descriptive, not causal.</x:v>
      </x:c>
      <x:c r="D45" s="5" t="str">
        <x:v>Modes were always Fast -&gt; Standard -&gt; HighSecurity. Practice and order effects were not controlled; results are descriptive, not causal.</x:v>
      </x:c>
      <x:c r="E45" s="5" t="str">
        <x:v>Modes were always Fast -&gt; Standard -&gt; HighSecurity. Practice and order effects were not controlled; results are descriptive, not causal.</x:v>
      </x:c>
      <x:c r="F45" s="5" t="str">
        <x:v>Modes were always Fast -&gt; Standard -&gt; HighSecurity. Practice and order effects were not controlled; results are descriptive, not causal.</x:v>
      </x:c>
      <x:c r="G45" s="5" t="str">
        <x:v>Modes were always Fast -&gt; Standard -&gt; HighSecurity. Practice and order effects were not controlled; results are descriptive, not causal.</x:v>
      </x:c>
      <x:c r="H45" s="5" t="str">
        <x:v>Modes were always Fast -&gt; Standard -&gt; HighSecurity. Practice and order effects were not controlled; results are descriptive, not causal.</x:v>
      </x:c>
    </x:row>
    <x:row r="46" ht="35" customHeight="1">
      <x:c r="A46" s="5" t="str">
        <x:v>The logs use one device (Admin Office - 1). No concurrent multi-kiosk or campus-scale capacity claim is supported.</x:v>
      </x:c>
      <x:c r="B46" s="5" t="str">
        <x:v>The logs use one device (Admin Office - 1). No concurrent multi-kiosk or campus-scale capacity claim is supported.</x:v>
      </x:c>
      <x:c r="C46" s="5" t="str">
        <x:v>The logs use one device (Admin Office - 1). No concurrent multi-kiosk or campus-scale capacity claim is supported.</x:v>
      </x:c>
      <x:c r="D46" s="5" t="str">
        <x:v>The logs use one device (Admin Office - 1). No concurrent multi-kiosk or campus-scale capacity claim is supported.</x:v>
      </x:c>
      <x:c r="E46" s="5" t="str">
        <x:v>The logs use one device (Admin Office - 1). No concurrent multi-kiosk or campus-scale capacity claim is supported.</x:v>
      </x:c>
      <x:c r="F46" s="5" t="str">
        <x:v>The logs use one device (Admin Office - 1). No concurrent multi-kiosk or campus-scale capacity claim is supported.</x:v>
      </x:c>
      <x:c r="G46" s="5" t="str">
        <x:v>The logs use one device (Admin Office - 1). No concurrent multi-kiosk or campus-scale capacity claim is supported.</x:v>
      </x:c>
      <x:c r="H46" s="5" t="str">
        <x:v>The logs use one device (Admin Office - 1). No concurrent multi-kiosk or campus-scale capacity claim is supported.</x:v>
      </x:c>
    </x:row>
    <x:row r="47" ht="35" customHeight="1">
      <x:c r="A47" s="5" t="str">
        <x:v>Two PIN_LOCKED rows hide component PIN durations as N/A while keeping nonzero totals. Both are flagged in RawRecords; no successful-entry row has this mismatch.</x:v>
      </x:c>
      <x:c r="B47" s="5" t="str">
        <x:v>Two PIN_LOCKED rows hide component PIN durations as N/A while keeping nonzero totals. Both are flagged in RawRecords; no successful-entry row has this mismatch.</x:v>
      </x:c>
      <x:c r="C47" s="5" t="str">
        <x:v>Two PIN_LOCKED rows hide component PIN durations as N/A while keeping nonzero totals. Both are flagged in RawRecords; no successful-entry row has this mismatch.</x:v>
      </x:c>
      <x:c r="D47" s="5" t="str">
        <x:v>Two PIN_LOCKED rows hide component PIN durations as N/A while keeping nonzero totals. Both are flagged in RawRecords; no successful-entry row has this mismatch.</x:v>
      </x:c>
      <x:c r="E47" s="5" t="str">
        <x:v>Two PIN_LOCKED rows hide component PIN durations as N/A while keeping nonzero totals. Both are flagged in RawRecords; no successful-entry row has this mismatch.</x:v>
      </x:c>
      <x:c r="F47" s="5" t="str">
        <x:v>Two PIN_LOCKED rows hide component PIN durations as N/A while keeping nonzero totals. Both are flagged in RawRecords; no successful-entry row has this mismatch.</x:v>
      </x:c>
      <x:c r="G47" s="5" t="str">
        <x:v>Two PIN_LOCKED rows hide component PIN durations as N/A while keeping nonzero totals. Both are flagged in RawRecords; no successful-entry row has this mismatch.</x:v>
      </x:c>
      <x:c r="H47" s="5" t="str">
        <x:v>Two PIN_LOCKED rows hide component PIN durations as N/A while keeping nonzero totals. Both are flagged in RawRecords; no successful-entry row has this mismatch.</x:v>
      </x:c>
    </x:row>
    <x:row r="48" ht="35" customHeight="1">
      <x:c r="A48" s="5" t="str">
        <x:v>Manual writing time, automated component timers and recorded-entry spacing have different boundaries. No matched end-to-end speed ratio is claimed.</x:v>
      </x:c>
      <x:c r="B48" s="5" t="str">
        <x:v>Manual writing time, automated component timers and recorded-entry spacing have different boundaries. No matched end-to-end speed ratio is claimed.</x:v>
      </x:c>
      <x:c r="C48" s="5" t="str">
        <x:v>Manual writing time, automated component timers and recorded-entry spacing have different boundaries. No matched end-to-end speed ratio is claimed.</x:v>
      </x:c>
      <x:c r="D48" s="5" t="str">
        <x:v>Manual writing time, automated component timers and recorded-entry spacing have different boundaries. No matched end-to-end speed ratio is claimed.</x:v>
      </x:c>
      <x:c r="E48" s="5" t="str">
        <x:v>Manual writing time, automated component timers and recorded-entry spacing have different boundaries. No matched end-to-end speed ratio is claimed.</x:v>
      </x:c>
      <x:c r="F48" s="5" t="str">
        <x:v>Manual writing time, automated component timers and recorded-entry spacing have different boundaries. No matched end-to-end speed ratio is claimed.</x:v>
      </x:c>
      <x:c r="G48" s="5" t="str">
        <x:v>Manual writing time, automated component timers and recorded-entry spacing have different boundaries. No matched end-to-end speed ratio is claimed.</x:v>
      </x:c>
      <x:c r="H48" s="5" t="str">
        <x:v>Manual writing time, automated component timers and recorded-entry spacing have different boundaries. No matched end-to-end speed ratio is claimed.</x:v>
      </x:c>
    </x:row>
    <x:row r="49" ht="35" customHeight="1">
      <x:c r="A49" s="5" t="str">
        <x:v>Batch 1 SHA-256: e43345017aede2e9fc0a1728169b4ee3d3e8712b379b9fe401535eeb3eaf69c8</x:v>
      </x:c>
      <x:c r="B49" s="5" t="str">
        <x:v>Batch 1 SHA-256: e43345017aede2e9fc0a1728169b4ee3d3e8712b379b9fe401535eeb3eaf69c8</x:v>
      </x:c>
      <x:c r="C49" s="5" t="str">
        <x:v>Batch 1 SHA-256: e43345017aede2e9fc0a1728169b4ee3d3e8712b379b9fe401535eeb3eaf69c8</x:v>
      </x:c>
      <x:c r="D49" s="5" t="str">
        <x:v>Batch 1 SHA-256: e43345017aede2e9fc0a1728169b4ee3d3e8712b379b9fe401535eeb3eaf69c8</x:v>
      </x:c>
      <x:c r="E49" s="5" t="str">
        <x:v>Batch 1 SHA-256: e43345017aede2e9fc0a1728169b4ee3d3e8712b379b9fe401535eeb3eaf69c8</x:v>
      </x:c>
      <x:c r="F49" s="5" t="str">
        <x:v>Batch 1 SHA-256: e43345017aede2e9fc0a1728169b4ee3d3e8712b379b9fe401535eeb3eaf69c8</x:v>
      </x:c>
      <x:c r="G49" s="5" t="str">
        <x:v>Batch 1 SHA-256: e43345017aede2e9fc0a1728169b4ee3d3e8712b379b9fe401535eeb3eaf69c8</x:v>
      </x:c>
      <x:c r="H49" s="5" t="str">
        <x:v>Batch 1 SHA-256: e43345017aede2e9fc0a1728169b4ee3d3e8712b379b9fe401535eeb3eaf69c8</x:v>
      </x:c>
    </x:row>
    <x:row r="50" ht="35" customHeight="1">
      <x:c r="A50" s="5" t="str">
        <x:v>Batch 2 SHA-256: a3115929c4e65e4334f1f7e01aadd519cb17ca7f184fe0a7fb99197782e464d5</x:v>
      </x:c>
      <x:c r="B50" s="5" t="str">
        <x:v>Batch 2 SHA-256: a3115929c4e65e4334f1f7e01aadd519cb17ca7f184fe0a7fb99197782e464d5</x:v>
      </x:c>
      <x:c r="C50" s="5" t="str">
        <x:v>Batch 2 SHA-256: a3115929c4e65e4334f1f7e01aadd519cb17ca7f184fe0a7fb99197782e464d5</x:v>
      </x:c>
      <x:c r="D50" s="5" t="str">
        <x:v>Batch 2 SHA-256: a3115929c4e65e4334f1f7e01aadd519cb17ca7f184fe0a7fb99197782e464d5</x:v>
      </x:c>
      <x:c r="E50" s="5" t="str">
        <x:v>Batch 2 SHA-256: a3115929c4e65e4334f1f7e01aadd519cb17ca7f184fe0a7fb99197782e464d5</x:v>
      </x:c>
      <x:c r="F50" s="5" t="str">
        <x:v>Batch 2 SHA-256: a3115929c4e65e4334f1f7e01aadd519cb17ca7f184fe0a7fb99197782e464d5</x:v>
      </x:c>
      <x:c r="G50" s="5" t="str">
        <x:v>Batch 2 SHA-256: a3115929c4e65e4334f1f7e01aadd519cb17ca7f184fe0a7fb99197782e464d5</x:v>
      </x:c>
      <x:c r="H50" s="5" t="str">
        <x:v>Batch 2 SHA-256: a3115929c4e65e4334f1f7e01aadd519cb17ca7f184fe0a7fb99197782e464d5</x:v>
      </x:c>
    </x:row>
    <x:row r="51" ht="35" customHeight="1">
      <x:c r="A51" s="5" t="str">
        <x:v>Source records: 438; exact duplicate rows: 0; successful entry component totals reconcile. Statistical SD uses the sample definition (n - 1).</x:v>
      </x:c>
      <x:c r="B51" s="5" t="str">
        <x:v>Source records: 438; exact duplicate rows: 0; successful entry component totals reconcile. Statistical SD uses the sample definition (n - 1).</x:v>
      </x:c>
      <x:c r="C51" s="5" t="str">
        <x:v>Source records: 438; exact duplicate rows: 0; successful entry component totals reconcile. Statistical SD uses the sample definition (n - 1).</x:v>
      </x:c>
      <x:c r="D51" s="5" t="str">
        <x:v>Source records: 438; exact duplicate rows: 0; successful entry component totals reconcile. Statistical SD uses the sample definition (n - 1).</x:v>
      </x:c>
      <x:c r="E51" s="5" t="str">
        <x:v>Source records: 438; exact duplicate rows: 0; successful entry component totals reconcile. Statistical SD uses the sample definition (n - 1).</x:v>
      </x:c>
      <x:c r="F51" s="5" t="str">
        <x:v>Source records: 438; exact duplicate rows: 0; successful entry component totals reconcile. Statistical SD uses the sample definition (n - 1).</x:v>
      </x:c>
      <x:c r="G51" s="5" t="str">
        <x:v>Source records: 438; exact duplicate rows: 0; successful entry component totals reconcile. Statistical SD uses the sample definition (n - 1).</x:v>
      </x:c>
      <x:c r="H51" s="5" t="str">
        <x:v>Source records: 438; exact duplicate rows: 0; successful entry component totals reconcile. Statistical SD uses the sample definition (n - 1).</x:v>
      </x:c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30" customHeight="1">
      <x:c r="A54" s="4" t="str">
        <x:v>Chapter 3 metrics and manual baseline</x:v>
      </x:c>
      <x:c r="B54" s="4" t="str">
        <x:v>Chapter 3 metrics and manual baseline</x:v>
      </x:c>
      <x:c r="C54" s="4" t="str">
        <x:v>Chapter 3 metrics and manual baseline</x:v>
      </x:c>
      <x:c r="D54" s="4" t="str">
        <x:v>Chapter 3 metrics and manual baseline</x:v>
      </x:c>
      <x:c r="E54" s="4" t="str">
        <x:v>Chapter 3 metrics and manual baseline</x:v>
      </x:c>
      <x:c r="F54" s="4" t="str">
        <x:v>Chapter 3 metrics and manual baseline</x:v>
      </x:c>
      <x:c r="G54" s="4" t="str">
        <x:v>Chapter 3 metrics and manual baseline</x:v>
      </x:c>
      <x:c r="H54" s="4" t="str">
        <x:v>Chapter 3 metrics and manual baseline</x:v>
      </x:c>
    </x:row>
    <x:row r="55" ht="44" customHeight="1">
      <x:c r="A55" s="8" t="str">
        <x:v>Metric</x:v>
      </x:c>
      <x:c r="B55" s="8" t="str"/>
      <x:c r="C55" s="8" t="str">
        <x:v>Result</x:v>
      </x:c>
      <x:c r="D55" s="8" t="str">
        <x:v>Scope</x:v>
      </x:c>
      <x:c r="E55" s="1"/>
      <x:c r="F55" s="1"/>
      <x:c r="G55" s="1"/>
      <x:c r="H55" s="1"/>
    </x:row>
    <x:row r="56" ht="37" customHeight="1">
      <x:c r="A56" s="5" t="str">
        <x:v>Observed credential-decision accuracy</x:v>
      </x:c>
      <x:c r="B56" s="5"/>
      <x:c r="C56" s="32" t="n">
        <x:f>SUM(RawRecords!$Y$7:$Y$444)/SUM(RawRecords!$V$7:$V$444)</x:f>
        <x:v>1</x:v>
      </x:c>
      <x:c r="D56" s="5" t="str">
        <x:v>222 labelled applicable decisions; excludes exits and pre-authentication state denials.</x:v>
      </x:c>
      <x:c r="E56" s="5"/>
      <x:c r="F56" s="5"/>
      <x:c r="G56" s="5"/>
      <x:c r="H56" s="5"/>
    </x:row>
    <x:row r="57" ht="37" customHeight="1">
      <x:c r="A57" s="5" t="str">
        <x:v>Recorded PIN submissions</x:v>
      </x:c>
      <x:c r="B57" s="5"/>
      <x:c r="C57" s="34" t="n">
        <x:f>SUM(RawRecords!$W$7:$W$444)</x:f>
        <x:v>152</x:v>
      </x:c>
      <x:c r="D57" s="5" t="str">
        <x:v>Includes successful PIN stages, failed submissions, triggering lockouts and PIN passed before QR denial.</x:v>
      </x:c>
      <x:c r="E57" s="5"/>
      <x:c r="F57" s="5"/>
      <x:c r="G57" s="5"/>
      <x:c r="H57" s="5"/>
    </x:row>
    <x:row r="58" ht="37" customHeight="1">
      <x:c r="A58" s="5" t="str">
        <x:v>Intentional lockout triggers</x:v>
      </x:c>
      <x:c r="B58" s="5"/>
      <x:c r="C58" s="34" t="n">
        <x:f>COUNTIF(RawRecords!$E$7:$E$444,"DENIED [PIN_LOCKED]")</x:f>
        <x:v>2</x:v>
      </x:c>
      <x:c r="D58" s="5" t="str">
        <x:v>Researcher confirmed newly triggered third-wrong-PIN events, not repeat locked-card scans.</x:v>
      </x:c>
      <x:c r="E58" s="5"/>
      <x:c r="F58" s="5"/>
      <x:c r="G58" s="5"/>
      <x:c r="H58" s="5"/>
    </x:row>
    <x:row r="59" ht="37" customHeight="1">
      <x:c r="A59" s="5" t="str">
        <x:v>Recorded PIN lockout rate</x:v>
      </x:c>
      <x:c r="B59" s="5"/>
      <x:c r="C59" s="32" t="n">
        <x:f>C58/C57</x:f>
        <x:v>0.013157894736842105</x:v>
      </x:c>
      <x:c r="D59" s="5" t="str">
        <x:v>Every individual PIN submission captured, according to researcher confirmation.</x:v>
      </x:c>
      <x:c r="E59" s="5"/>
      <x:c r="F59" s="5"/>
      <x:c r="G59" s="5"/>
      <x:c r="H59" s="5"/>
    </x:row>
    <x:row r="60" ht="37" customHeight="1">
      <x:c r="A60" s="5" t="str">
        <x:v>Recorded transaction denial rate</x:v>
      </x:c>
      <x:c r="B60" s="5"/>
      <x:c r="C60" s="32" t="n">
        <x:f>D10/E10</x:f>
        <x:v>0.0410958904109589</x:v>
      </x:c>
      <x:c r="D60" s="5" t="str">
        <x:v>All 438 records; includes reset exits and intentional invalid attempts.</x:v>
      </x:c>
      <x:c r="E60" s="5"/>
      <x:c r="F60" s="5"/>
      <x:c r="G60" s="5"/>
      <x:c r="H60" s="5"/>
    </x:row>
    <x:row r="61" ht="37" customHeight="1">
      <x:c r="A61" s="5" t="str">
        <x:v>Mean manual writing time (s)</x:v>
      </x:c>
      <x:c r="B61" s="5"/>
      <x:c r="C61" s="35" t="n">
        <x:f>ManualBaseline!B9</x:f>
        <x:v>21.803428571428572</x:v>
      </x:c>
      <x:c r="D61" s="5" t="str">
        <x:v>First character to completion of required paper-attendance fields.</x:v>
      </x:c>
      <x:c r="E61" s="5"/>
      <x:c r="F61" s="5"/>
      <x:c r="G61" s="5"/>
      <x:c r="H61" s="5"/>
    </x:row>
    <x:row r="62" ht="37" customHeight="1">
      <x:c r="A62" s="5" t="str">
        <x:v>Manual service-equivalent rate</x:v>
      </x:c>
      <x:c r="B62" s="5"/>
      <x:c r="C62" s="36" t="n">
        <x:f>ManualBaseline!B14</x:f>
        <x:v>2.751860782052626</x:v>
      </x:c>
      <x:c r="D62" s="5" t="str">
        <x:v>Hypothetical continuous writing service; not measured queue throughput.</x:v>
      </x:c>
      <x:c r="E62" s="5"/>
      <x:c r="F62" s="5"/>
      <x:c r="G62" s="5"/>
      <x:c r="H62" s="5"/>
    </x:row>
    <x:row r="63" ht="37" customHeight="1">
      <x:c r="A63" s="5" t="str">
        <x:v>Manual enrollment check omission</x:v>
      </x:c>
      <x:c r="B63" s="5"/>
      <x:c r="C63" s="32" t="n">
        <x:f>(ManualBaseline!B7-ManualBaseline!B15)/ManualBaseline!B7</x:f>
        <x:v>1</x:v>
      </x:c>
      <x:c r="D63" s="5" t="str">
        <x:v>No ID/enrollment validation in the stated simulation; not a false-enrollment rate.</x:v>
      </x:c>
      <x:c r="E63" s="5"/>
      <x:c r="F63" s="5"/>
      <x:c r="G63" s="5"/>
      <x:c r="H63" s="5"/>
    </x:row>
    <x:row r="64" ht="37" customHeight="1">
      <x:c r="A64" s="5" t="str">
        <x:v>Full automated processing time</x:v>
      </x:c>
      <x:c r="B64" s="5"/>
      <x:c r="C64" s="38" t="str">
        <x:v>Not established</x:v>
      </x:c>
      <x:c r="D64" s="5" t="str">
        <x:v>No end-to-end NFC-tap-to-finished-verification timestamps.</x:v>
      </x:c>
      <x:c r="E64" s="5"/>
      <x:c r="F64" s="5"/>
      <x:c r="G64" s="5"/>
      <x:c r="H64" s="5"/>
    </x:row>
    <x:row r="65" ht="37" customHeight="1">
      <x:c r="A65" s="5" t="str">
        <x:v>Complete-round throughput</x:v>
      </x:c>
      <x:c r="B65" s="5"/>
      <x:c r="C65" s="38" t="str">
        <x:v>Not established</x:v>
      </x:c>
      <x:c r="D65" s="5" t="str">
        <x:v>No complete observation-period start and finish.</x:v>
      </x:c>
      <x:c r="E65" s="5"/>
      <x:c r="F65" s="5"/>
      <x:c r="G65" s="5"/>
      <x:c r="H65" s="5"/>
    </x:row>
    <x:row r="66" ht="37" customHeight="1">
      <x:c r="A66" s="5" t="str">
        <x:v>Matched speed-improvement ratio</x:v>
      </x:c>
      <x:c r="B66" s="5"/>
      <x:c r="C66" s="38" t="str">
        <x:v>Not established</x:v>
      </x:c>
      <x:c r="D66" s="5" t="str">
        <x:v>Manual event writing and automated entry verification use different boundaries.</x:v>
      </x:c>
      <x:c r="E66" s="5"/>
      <x:c r="F66" s="5"/>
      <x:c r="G66" s="5"/>
      <x:c r="H66" s="5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</x:row>
    <x:row r="69" ht="30" customHeight="1">
      <x:c r="A69" s="4" t="str">
        <x:v>Recorded authentication and PIN attempt audit</x:v>
      </x:c>
      <x:c r="B69" s="4" t="str">
        <x:v>Recorded authentication and PIN attempt audit</x:v>
      </x:c>
      <x:c r="C69" s="4" t="str">
        <x:v>Recorded authentication and PIN attempt audit</x:v>
      </x:c>
      <x:c r="D69" s="4" t="str">
        <x:v>Recorded authentication and PIN attempt audit</x:v>
      </x:c>
      <x:c r="E69" s="4" t="str">
        <x:v>Recorded authentication and PIN attempt audit</x:v>
      </x:c>
      <x:c r="F69" s="4" t="str">
        <x:v>Recorded authentication and PIN attempt audit</x:v>
      </x:c>
      <x:c r="G69" s="4" t="str">
        <x:v>Recorded authentication and PIN attempt audit</x:v>
      </x:c>
      <x:c r="H69" s="4" t="str">
        <x:v>Recorded authentication and PIN attempt audit</x:v>
      </x:c>
    </x:row>
    <x:row r="70" ht="44" customHeight="1">
      <x:c r="A70" s="8" t="str">
        <x:v>Mode</x:v>
      </x:c>
      <x:c r="B70" s="8" t="str">
        <x:v>Valid grants</x:v>
      </x:c>
      <x:c r="C70" s="8" t="str">
        <x:v>Credential denials</x:v>
      </x:c>
      <x:c r="D70" s="8" t="str">
        <x:v>Auth decisions</x:v>
      </x:c>
      <x:c r="E70" s="8" t="str">
        <x:v>Correct decisions</x:v>
      </x:c>
      <x:c r="F70" s="8" t="str">
        <x:v>PIN submissions</x:v>
      </x:c>
      <x:c r="G70" s="8" t="str">
        <x:v>Lockout triggers</x:v>
      </x:c>
      <x:c r="H70" s="8" t="str">
        <x:v>Lockout rate</x:v>
      </x:c>
    </x:row>
    <x:row r="71" ht="23" customHeight="1">
      <x:c r="A71" s="1" t="str">
        <x:v>Fast</x:v>
      </x:c>
      <x:c r="B71" s="1" t="n">
        <x:f>COUNTIFS(RawRecords!$D$7:$D$444,A71,RawRecords!$S$7:$S$444,"Successful entry")</x:f>
        <x:v>70</x:v>
      </x:c>
      <x:c r="C71" s="1" t="n">
        <x:f>COUNTIFS(RawRecords!$D$7:$D$444,A71,RawRecords!$V$7:$V$444,1,RawRecords!$S$7:$S$444,"Denied record")</x:f>
        <x:v>0</x:v>
      </x:c>
      <x:c r="D71" s="1" t="n">
        <x:f>SUMIF(RawRecords!$D$7:$D$444,A71,RawRecords!$V$7:$V$444)</x:f>
        <x:v>70</x:v>
      </x:c>
      <x:c r="E71" s="1" t="n">
        <x:f>SUMIF(RawRecords!$D$7:$D$444,A71,RawRecords!$Y$7:$Y$444)</x:f>
        <x:v>70</x:v>
      </x:c>
      <x:c r="F71" s="1" t="n">
        <x:f>SUMIF(RawRecords!$D$7:$D$444,A71,RawRecords!$W$7:$W$444)</x:f>
        <x:v>0</x:v>
      </x:c>
      <x:c r="G71" s="1" t="n">
        <x:f>COUNTIFS(RawRecords!$D$7:$D$444,A71,RawRecords!$E$7:$E$444,"DENIED [PIN_LOCKED]")</x:f>
        <x:v>0</x:v>
      </x:c>
      <x:c r="H71" s="31" t="str">
        <x:f>IF(F71=0,"N/A",G71/F71)</x:f>
        <x:v>N/A</x:v>
      </x:c>
    </x:row>
    <x:row r="72" ht="23" customHeight="1">
      <x:c r="A72" s="1" t="str">
        <x:v>Standard</x:v>
      </x:c>
      <x:c r="B72" s="1" t="n">
        <x:f>COUNTIFS(RawRecords!$D$7:$D$444,A72,RawRecords!$S$7:$S$444,"Successful entry")</x:f>
        <x:v>70</x:v>
      </x:c>
      <x:c r="C72" s="1" t="n">
        <x:f>COUNTIFS(RawRecords!$D$7:$D$444,A72,RawRecords!$V$7:$V$444,1,RawRecords!$S$7:$S$444,"Denied record")</x:f>
        <x:v>9</x:v>
      </x:c>
      <x:c r="D72" s="1" t="n">
        <x:f>SUMIF(RawRecords!$D$7:$D$444,A72,RawRecords!$V$7:$V$444)</x:f>
        <x:v>79</x:v>
      </x:c>
      <x:c r="E72" s="1" t="n">
        <x:f>SUMIF(RawRecords!$D$7:$D$444,A72,RawRecords!$Y$7:$Y$444)</x:f>
        <x:v>79</x:v>
      </x:c>
      <x:c r="F72" s="1" t="n">
        <x:f>SUMIF(RawRecords!$D$7:$D$444,A72,RawRecords!$W$7:$W$444)</x:f>
        <x:v>79</x:v>
      </x:c>
      <x:c r="G72" s="1" t="n">
        <x:f>COUNTIFS(RawRecords!$D$7:$D$444,A72,RawRecords!$E$7:$E$444,"DENIED [PIN_LOCKED]")</x:f>
        <x:v>2</x:v>
      </x:c>
      <x:c r="H72" s="31" t="n">
        <x:f>IF(F72=0,"N/A",G72/F72)</x:f>
        <x:v>0.02531645569620253</x:v>
      </x:c>
    </x:row>
    <x:row r="73" ht="23" customHeight="1">
      <x:c r="A73" s="1" t="str">
        <x:v>HighSecurity</x:v>
      </x:c>
      <x:c r="B73" s="1" t="n">
        <x:f>COUNTIFS(RawRecords!$D$7:$D$444,A73,RawRecords!$S$7:$S$444,"Successful entry")</x:f>
        <x:v>70</x:v>
      </x:c>
      <x:c r="C73" s="1" t="n">
        <x:f>COUNTIFS(RawRecords!$D$7:$D$444,A73,RawRecords!$V$7:$V$444,1,RawRecords!$S$7:$S$444,"Denied record")</x:f>
        <x:v>3</x:v>
      </x:c>
      <x:c r="D73" s="1" t="n">
        <x:f>SUMIF(RawRecords!$D$7:$D$444,A73,RawRecords!$V$7:$V$444)</x:f>
        <x:v>73</x:v>
      </x:c>
      <x:c r="E73" s="1" t="n">
        <x:f>SUMIF(RawRecords!$D$7:$D$444,A73,RawRecords!$Y$7:$Y$444)</x:f>
        <x:v>73</x:v>
      </x:c>
      <x:c r="F73" s="1" t="n">
        <x:f>SUMIF(RawRecords!$D$7:$D$444,A73,RawRecords!$W$7:$W$444)</x:f>
        <x:v>73</x:v>
      </x:c>
      <x:c r="G73" s="1" t="n">
        <x:f>COUNTIFS(RawRecords!$D$7:$D$444,A73,RawRecords!$E$7:$E$444,"DENIED [PIN_LOCKED]")</x:f>
        <x:v>0</x:v>
      </x:c>
      <x:c r="H73" s="31" t="n">
        <x:f>IF(F73=0,"N/A",G73/F73)</x:f>
        <x:v>0</x:v>
      </x:c>
    </x:row>
    <x:row r="74" ht="23" customHeight="1">
      <x:c r="A74" s="1"/>
      <x:c r="B74" s="1"/>
      <x:c r="C74" s="1"/>
      <x:c r="D74" s="1"/>
      <x:c r="E74" s="1"/>
      <x:c r="F74" s="1"/>
      <x:c r="G74" s="1"/>
      <x:c r="H74" s="1"/>
    </x:row>
    <x:row r="75" ht="35" customHeight="1">
      <x:c r="A75" s="5" t="str">
        <x:v>All 18 denials were reported as expected invalid-condition outcomes. Six state-rule denials are separate from the 222 applicable credential decisions.</x:v>
      </x:c>
      <x:c r="B75" s="5" t="str">
        <x:v>All 18 denials were reported as expected invalid-condition outcomes. Six state-rule denials are separate from the 222 applicable credential decisions.</x:v>
      </x:c>
      <x:c r="C75" s="5" t="str">
        <x:v>All 18 denials were reported as expected invalid-condition outcomes. Six state-rule denials are separate from the 222 applicable credential decisions.</x:v>
      </x:c>
      <x:c r="D75" s="5" t="str">
        <x:v>All 18 denials were reported as expected invalid-condition outcomes. Six state-rule denials are separate from the 222 applicable credential decisions.</x:v>
      </x:c>
      <x:c r="E75" s="5" t="str">
        <x:v>All 18 denials were reported as expected invalid-condition outcomes. Six state-rule denials are separate from the 222 applicable credential decisions.</x:v>
      </x:c>
      <x:c r="F75" s="5" t="str">
        <x:v>All 18 denials were reported as expected invalid-condition outcomes. Six state-rule denials are separate from the 222 applicable credential decisions.</x:v>
      </x:c>
      <x:c r="G75" s="5" t="str">
        <x:v>All 18 denials were reported as expected invalid-condition outcomes. Six state-rule denials are separate from the 222 applicable credential decisions.</x:v>
      </x:c>
      <x:c r="H75" s="5" t="str">
        <x:v>All 18 denials were reported as expected invalid-condition outcomes. Six state-rule denials are separate from the 222 applicable credential decisions.</x:v>
      </x:c>
    </x:row>
    <x:row r="76" ht="23" customHeight="1">
      <x:c r="A76" s="1"/>
      <x:c r="B76" s="1"/>
      <x:c r="C76" s="1"/>
      <x:c r="D76" s="1"/>
      <x:c r="E76" s="1"/>
      <x:c r="F76" s="1"/>
      <x:c r="G76" s="1"/>
      <x:c r="H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</x:row>
  </x:sheetData>
  <x:mergeCells>
    <x:mergeCell ref="A1:H1"/>
    <x:mergeCell ref="A2:H2"/>
    <x:mergeCell ref="A3:H3"/>
    <x:mergeCell ref="A5:H5"/>
    <x:mergeCell ref="A11:H11"/>
    <x:mergeCell ref="A13:H13"/>
    <x:mergeCell ref="A18:H18"/>
    <x:mergeCell ref="A20:H20"/>
    <x:mergeCell ref="A25:H25"/>
    <x:mergeCell ref="A27:H27"/>
    <x:mergeCell ref="A32:H32"/>
    <x:mergeCell ref="A34:H34"/>
    <x:mergeCell ref="C35:H35"/>
    <x:mergeCell ref="C36:H36"/>
    <x:mergeCell ref="C37:H37"/>
    <x:mergeCell ref="C38:H38"/>
    <x:mergeCell ref="C39:H39"/>
    <x:mergeCell ref="C40:H40"/>
    <x:mergeCell ref="A42:H42"/>
    <x:mergeCell ref="A43:H43"/>
    <x:mergeCell ref="A44:H44"/>
    <x:mergeCell ref="A45:H45"/>
    <x:mergeCell ref="A46:H46"/>
    <x:mergeCell ref="A47:H47"/>
    <x:mergeCell ref="A48:H48"/>
    <x:mergeCell ref="A49:H49"/>
    <x:mergeCell ref="A50:H50"/>
    <x:mergeCell ref="A51:H51"/>
    <x:mergeCell ref="A54:H54"/>
    <x:mergeCell ref="A55:B55"/>
    <x:mergeCell ref="D55:H55"/>
    <x:mergeCell ref="A56:B56"/>
    <x:mergeCell ref="D56:H56"/>
    <x:mergeCell ref="A57:B57"/>
    <x:mergeCell ref="D57:H57"/>
    <x:mergeCell ref="A58:B58"/>
    <x:mergeCell ref="D58:H58"/>
    <x:mergeCell ref="A59:B59"/>
    <x:mergeCell ref="D59:H59"/>
    <x:mergeCell ref="A60:B60"/>
    <x:mergeCell ref="D60:H60"/>
    <x:mergeCell ref="A61:B61"/>
    <x:mergeCell ref="D61:H61"/>
    <x:mergeCell ref="A62:B62"/>
    <x:mergeCell ref="D62:H62"/>
    <x:mergeCell ref="A63:B63"/>
    <x:mergeCell ref="D63:H63"/>
    <x:mergeCell ref="A64:B64"/>
    <x:mergeCell ref="D64:H64"/>
    <x:mergeCell ref="A65:B65"/>
    <x:mergeCell ref="D65:H65"/>
    <x:mergeCell ref="A66:B66"/>
    <x:mergeCell ref="D66:H66"/>
    <x:mergeCell ref="A69:H69"/>
    <x:mergeCell ref="A75:H7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7" hidden="0" customWidth="1"/>
    <x:col min="5" max="5" width="28" hidden="0" customWidth="1"/>
    <x:col min="6" max="6" width="2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4" t="str">
        <x:v>Entry runs and eligible successful-entry measurements</x:v>
      </x:c>
      <x:c r="B1" s="4" t="str">
        <x:v>Entry runs and eligible successful-entry measurements</x:v>
      </x:c>
      <x:c r="C1" s="4" t="str">
        <x:v>Entry runs and eligible successful-entry measurements</x:v>
      </x:c>
      <x:c r="D1" s="4" t="str">
        <x:v>Entry runs and eligible successful-entry measurements</x:v>
      </x:c>
      <x:c r="E1" s="4" t="str">
        <x:v>Entry runs and eligible successful-entry measurements</x:v>
      </x:c>
      <x:c r="F1" s="4" t="str">
        <x:v>Entry runs and eligible successful-entry measurements</x:v>
      </x:c>
      <x:c r="G1" s="4" t="str">
        <x:v>Entry runs and eligible successful-entry measurements</x:v>
      </x:c>
      <x:c r="H1" s="4" t="str">
        <x:v>Entry runs and eligible successful-entry measurements</x:v>
      </x:c>
      <x:c r="I1" s="4" t="str">
        <x:v>Entry runs and eligible successful-entry measurements</x:v>
      </x:c>
      <x:c r="J1" s="4" t="str">
        <x:v>Entry runs and eligible successful-entry measurements</x:v>
      </x:c>
      <x:c r="K1" s="4" t="str">
        <x:v>Entry runs and eligible successful-entry measurements</x:v>
      </x:c>
      <x:c r="L1" s="4" t="str">
        <x:v>Entry runs and eligible successful-entry measurements</x:v>
      </x:c>
      <x:c r="M1" s="4" t="str">
        <x:v>Entry runs and eligible successful-entry measurements</x:v>
      </x:c>
    </x:row>
    <x:row r="2" ht="35" customHeight="1">
      <x:c r="A2" s="5" t="str">
        <x:v>Run span begins at the first recorded grant and ends at the last. Intervals = grants - 1; reset exits and between-run explanations are excluded.</x:v>
      </x:c>
      <x:c r="B2" s="5" t="str">
        <x:v>Run span begins at the first recorded grant and ends at the last. Intervals = grants - 1; reset exits and between-run explanations are excluded.</x:v>
      </x:c>
      <x:c r="C2" s="5" t="str">
        <x:v>Run span begins at the first recorded grant and ends at the last. Intervals = grants - 1; reset exits and between-run explanations are excluded.</x:v>
      </x:c>
      <x:c r="D2" s="5" t="str">
        <x:v>Run span begins at the first recorded grant and ends at the last. Intervals = grants - 1; reset exits and between-run explanations are excluded.</x:v>
      </x:c>
      <x:c r="E2" s="5" t="str">
        <x:v>Run span begins at the first recorded grant and ends at the last. Intervals = grants - 1; reset exits and between-run explanations are excluded.</x:v>
      </x:c>
      <x:c r="F2" s="5" t="str">
        <x:v>Run span begins at the first recorded grant and ends at the last. Intervals = grants - 1; reset exits and between-run explanations are excluded.</x:v>
      </x:c>
      <x:c r="G2" s="5" t="str">
        <x:v>Run span begins at the first recorded grant and ends at the last. Intervals = grants - 1; reset exits and between-run explanations are excluded.</x:v>
      </x:c>
      <x:c r="H2" s="5" t="str">
        <x:v>Run span begins at the first recorded grant and ends at the last. Intervals = grants - 1; reset exits and between-run explanations are excluded.</x:v>
      </x:c>
      <x:c r="I2" s="5" t="str">
        <x:v>Run span begins at the first recorded grant and ends at the last. Intervals = grants - 1; reset exits and between-run explanations are excluded.</x:v>
      </x:c>
      <x:c r="J2" s="5" t="str">
        <x:v>Run span begins at the first recorded grant and ends at the last. Intervals = grants - 1; reset exits and between-run explanations are excluded.</x:v>
      </x:c>
      <x:c r="K2" s="5" t="str">
        <x:v>Run span begins at the first recorded grant and ends at the last. Intervals = grants - 1; reset exits and between-run explanations are excluded.</x:v>
      </x:c>
      <x:c r="L2" s="5" t="str">
        <x:v>Run span begins at the first recorded grant and ends at the last. Intervals = grants - 1; reset exits and between-run explanations are excluded.</x:v>
      </x:c>
      <x:c r="M2" s="5" t="str">
        <x:v>Run span begins at the first recorded grant and ends at the last. Intervals = grants - 1; reset exits and between-run explanations are excluded.</x:v>
      </x:c>
    </x:row>
    <x:row r="3" ht="35" customHeight="1">
      <x:c r="A3" s="5" t="str">
        <x:v>Within-run demonstrations/pauses cannot be removed from elapsed spans using verdict filtering. Rate is not full physical processing capacity.</x:v>
      </x:c>
      <x:c r="B3" s="5" t="str">
        <x:v>Within-run demonstrations/pauses cannot be removed from elapsed spans using verdict filtering. Rate is not full physical processing capacity.</x:v>
      </x:c>
      <x:c r="C3" s="5" t="str">
        <x:v>Within-run demonstrations/pauses cannot be removed from elapsed spans using verdict filtering. Rate is not full physical processing capacity.</x:v>
      </x:c>
      <x:c r="D3" s="5" t="str">
        <x:v>Within-run demonstrations/pauses cannot be removed from elapsed spans using verdict filtering. Rate is not full physical processing capacity.</x:v>
      </x:c>
      <x:c r="E3" s="5" t="str">
        <x:v>Within-run demonstrations/pauses cannot be removed from elapsed spans using verdict filtering. Rate is not full physical processing capacity.</x:v>
      </x:c>
      <x:c r="F3" s="5" t="str">
        <x:v>Within-run demonstrations/pauses cannot be removed from elapsed spans using verdict filtering. Rate is not full physical processing capacity.</x:v>
      </x:c>
      <x:c r="G3" s="5" t="str">
        <x:v>Within-run demonstrations/pauses cannot be removed from elapsed spans using verdict filtering. Rate is not full physical processing capacity.</x:v>
      </x:c>
      <x:c r="H3" s="5" t="str">
        <x:v>Within-run demonstrations/pauses cannot be removed from elapsed spans using verdict filtering. Rate is not full physical processing capacity.</x:v>
      </x:c>
      <x:c r="I3" s="5" t="str">
        <x:v>Within-run demonstrations/pauses cannot be removed from elapsed spans using verdict filtering. Rate is not full physical processing capacity.</x:v>
      </x:c>
      <x:c r="J3" s="5" t="str">
        <x:v>Within-run demonstrations/pauses cannot be removed from elapsed spans using verdict filtering. Rate is not full physical processing capacity.</x:v>
      </x:c>
      <x:c r="K3" s="5" t="str">
        <x:v>Within-run demonstrations/pauses cannot be removed from elapsed spans using verdict filtering. Rate is not full physical processing capacity.</x:v>
      </x:c>
      <x:c r="L3" s="5" t="str">
        <x:v>Within-run demonstrations/pauses cannot be removed from elapsed spans using verdict filtering. Rate is not full physical processing capacity.</x:v>
      </x:c>
      <x:c r="M3" s="5" t="str">
        <x:v>Within-run demonstrations/pauses cannot be removed from elapsed spans using verdict filtering. Rate is not full physical processing capacity.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4" customHeight="1">
      <x:c r="A5" s="8" t="str">
        <x:v>Batch</x:v>
      </x:c>
      <x:c r="B5" s="8" t="str">
        <x:v>Mode</x:v>
      </x:c>
      <x:c r="C5" s="8" t="str">
        <x:v>Round</x:v>
      </x:c>
      <x:c r="D5" s="8" t="str">
        <x:v>Granted entries</x:v>
      </x:c>
      <x:c r="E5" s="8" t="str">
        <x:v>First recorded grant</x:v>
      </x:c>
      <x:c r="F5" s="8" t="str">
        <x:v>Last recorded grant</x:v>
      </x:c>
      <x:c r="G5" s="8" t="str">
        <x:v>Intervals</x:v>
      </x:c>
      <x:c r="H5" s="8" t="str">
        <x:v>Span (s)</x:v>
      </x:c>
      <x:c r="I5" s="8" t="str">
        <x:v>Spacing (s)</x:v>
      </x:c>
      <x:c r="J5" s="8" t="str">
        <x:v>Rate (/min)</x:v>
      </x:c>
      <x:c r="K5" s="8" t="str">
        <x:v>Denials within span</x:v>
      </x:c>
      <x:c r="L5" s="1"/>
      <x:c r="M5" s="1"/>
    </x:row>
    <x:row r="6" ht="23" customHeight="1">
      <x:c r="A6" s="1" t="n">
        <x:v>1</x:v>
      </x:c>
      <x:c r="B6" s="17" t="str">
        <x:v>Fast</x:v>
      </x:c>
      <x:c r="C6" s="1" t="n">
        <x:v>1</x:v>
      </x:c>
      <x:c r="D6" s="1" t="n">
        <x:v>20</x:v>
      </x:c>
      <x:c r="E6" s="9" t="n">
        <x:v>46246.48092163194</x:v>
      </x:c>
      <x:c r="F6" s="9" t="n">
        <x:v>46246.48151479167</x:v>
      </x:c>
      <x:c r="G6" s="1" t="n">
        <x:f>D6-1</x:f>
        <x:v>19</x:v>
      </x:c>
      <x:c r="H6" s="16" t="n">
        <x:f>(F6-E6)*86400</x:f>
        <x:v>51.24900033697486</x:v>
      </x:c>
      <x:c r="I6" s="16" t="n">
        <x:f>H6/G6</x:f>
        <x:v>2.697315807209203</x:v>
      </x:c>
      <x:c r="J6" s="16" t="n">
        <x:f>60*G6/H6</x:f>
        <x:v>22.244336328596027</x:v>
      </x:c>
      <x:c r="K6" s="1" t="n">
        <x:v>0</x:v>
      </x:c>
      <x:c r="L6" s="1"/>
      <x:c r="M6" s="1"/>
    </x:row>
    <x:row r="7" ht="23" customHeight="1">
      <x:c r="A7" s="1" t="n">
        <x:v>1</x:v>
      </x:c>
      <x:c r="B7" s="17" t="str">
        <x:v>Fast</x:v>
      </x:c>
      <x:c r="C7" s="1" t="n">
        <x:v>2</x:v>
      </x:c>
      <x:c r="D7" s="1" t="n">
        <x:v>20</x:v>
      </x:c>
      <x:c r="E7" s="9" t="n">
        <x:v>46246.4824546875</x:v>
      </x:c>
      <x:c r="F7" s="9" t="n">
        <x:v>46246.483159675925</x:v>
      </x:c>
      <x:c r="G7" s="1" t="n">
        <x:f>D7-1</x:f>
        <x:v>19</x:v>
      </x:c>
      <x:c r="H7" s="16" t="n">
        <x:f>(F7-E7)*86400</x:f>
        <x:v>60.91099970508367</x:v>
      </x:c>
      <x:c r="I7" s="16" t="n">
        <x:f>H7/G7</x:f>
        <x:v>3.2058420897412456</x:v>
      </x:c>
      <x:c r="J7" s="16" t="n">
        <x:f>60*G7/H7</x:f>
        <x:v>18.71583138545754</x:v>
      </x:c>
      <x:c r="K7" s="1" t="n">
        <x:v>0</x:v>
      </x:c>
      <x:c r="L7" s="1"/>
      <x:c r="M7" s="1"/>
    </x:row>
    <x:row r="8" ht="23" customHeight="1">
      <x:c r="A8" s="1" t="n">
        <x:v>1</x:v>
      </x:c>
      <x:c r="B8" s="17" t="str">
        <x:v>Standard</x:v>
      </x:c>
      <x:c r="C8" s="1" t="n">
        <x:v>1</x:v>
      </x:c>
      <x:c r="D8" s="1" t="n">
        <x:v>20</x:v>
      </x:c>
      <x:c r="E8" s="9" t="n">
        <x:v>46246.48494283565</x:v>
      </x:c>
      <x:c r="F8" s="9" t="n">
        <x:v>46246.486727766205</x:v>
      </x:c>
      <x:c r="G8" s="1" t="n">
        <x:f>D8-1</x:f>
        <x:v>19</x:v>
      </x:c>
      <x:c r="H8" s="16" t="n">
        <x:f>(F8-E8)*86400</x:f>
        <x:v>154.21800026670098</x:v>
      </x:c>
      <x:c r="I8" s="16" t="n">
        <x:f>H8/G8</x:f>
        <x:v>8.116736856142158</x:v>
      </x:c>
      <x:c r="J8" s="16" t="n">
        <x:f>60*G8/H8</x:f>
        <x:v>7.392133201237928</x:v>
      </x:c>
      <x:c r="K8" s="1" t="n">
        <x:v>0</x:v>
      </x:c>
      <x:c r="L8" s="1"/>
      <x:c r="M8" s="1"/>
    </x:row>
    <x:row r="9" ht="23" customHeight="1">
      <x:c r="A9" s="1" t="n">
        <x:v>1</x:v>
      </x:c>
      <x:c r="B9" s="17" t="str">
        <x:v>Standard</x:v>
      </x:c>
      <x:c r="C9" s="1" t="n">
        <x:v>2</x:v>
      </x:c>
      <x:c r="D9" s="1" t="n">
        <x:v>20</x:v>
      </x:c>
      <x:c r="E9" s="9" t="n">
        <x:v>46246.48759346065</x:v>
      </x:c>
      <x:c r="F9" s="9" t="n">
        <x:v>46246.489539849536</x:v>
      </x:c>
      <x:c r="G9" s="1" t="n">
        <x:f>D9-1</x:f>
        <x:v>19</x:v>
      </x:c>
      <x:c r="H9" s="16" t="n">
        <x:f>(F9-E9)*86400</x:f>
        <x:v>168.16799941007048</x:v>
      </x:c>
      <x:c r="I9" s="16" t="n">
        <x:f>H9/G9</x:f>
        <x:v>8.85094733737213</x:v>
      </x:c>
      <x:c r="J9" s="16" t="n">
        <x:f>60*G9/H9</x:f>
        <x:v>6.778935374144273</x:v>
      </x:c>
      <x:c r="K9" s="1" t="n">
        <x:v>4</x:v>
      </x:c>
      <x:c r="L9" s="1"/>
      <x:c r="M9" s="1"/>
    </x:row>
    <x:row r="10" ht="23" customHeight="1">
      <x:c r="A10" s="1" t="n">
        <x:v>1</x:v>
      </x:c>
      <x:c r="B10" s="17" t="str">
        <x:v>HighSecurity</x:v>
      </x:c>
      <x:c r="C10" s="1" t="n">
        <x:v>1</x:v>
      </x:c>
      <x:c r="D10" s="1" t="n">
        <x:v>20</x:v>
      </x:c>
      <x:c r="E10" s="9" t="n">
        <x:v>46246.49047979167</x:v>
      </x:c>
      <x:c r="F10" s="9" t="n">
        <x:v>46246.49325443287</x:v>
      </x:c>
      <x:c r="G10" s="1" t="n">
        <x:f>D10-1</x:f>
        <x:v>19</x:v>
      </x:c>
      <x:c r="H10" s="16" t="n">
        <x:f>(F10-E10)*86400</x:f>
        <x:v>239.72899981308728</x:v>
      </x:c>
      <x:c r="I10" s="16" t="n">
        <x:f>H10/G10</x:f>
        <x:v>12.617315779636172</x:v>
      </x:c>
      <x:c r="J10" s="16" t="n">
        <x:f>60*G10/H10</x:f>
        <x:v>4.755369608553154</x:v>
      </x:c>
      <x:c r="K10" s="1" t="n">
        <x:v>1</x:v>
      </x:c>
      <x:c r="L10" s="1"/>
      <x:c r="M10" s="1"/>
    </x:row>
    <x:row r="11" ht="23" customHeight="1">
      <x:c r="A11" s="1" t="n">
        <x:v>1</x:v>
      </x:c>
      <x:c r="B11" s="17" t="str">
        <x:v>HighSecurity</x:v>
      </x:c>
      <x:c r="C11" s="1" t="n">
        <x:v>2</x:v>
      </x:c>
      <x:c r="D11" s="1" t="n">
        <x:v>20</x:v>
      </x:c>
      <x:c r="E11" s="9" t="n">
        <x:v>46246.49416393519</x:v>
      </x:c>
      <x:c r="F11" s="9" t="n">
        <x:v>46246.49641707176</x:v>
      </x:c>
      <x:c r="G11" s="1" t="n">
        <x:f>D11-1</x:f>
        <x:v>19</x:v>
      </x:c>
      <x:c r="H11" s="16" t="n">
        <x:f>(F11-E11)*86400</x:f>
        <x:v>194.67099951580167</x:v>
      </x:c>
      <x:c r="I11" s="16" t="n">
        <x:f>H11/G11</x:f>
        <x:v>10.245842079779035</x:v>
      </x:c>
      <x:c r="J11" s="16" t="n">
        <x:f>60*G11/H11</x:f>
        <x:v>5.856034041205326</x:v>
      </x:c>
      <x:c r="K11" s="1" t="n">
        <x:v>0</x:v>
      </x:c>
      <x:c r="L11" s="1"/>
      <x:c r="M11" s="1"/>
    </x:row>
    <x:row r="12" ht="23" customHeight="1">
      <x:c r="A12" s="1" t="n">
        <x:v>2</x:v>
      </x:c>
      <x:c r="B12" s="17" t="str">
        <x:v>Fast</x:v>
      </x:c>
      <x:c r="C12" s="1" t="n">
        <x:v>1</x:v>
      </x:c>
      <x:c r="D12" s="1" t="n">
        <x:v>20</x:v>
      </x:c>
      <x:c r="E12" s="9" t="n">
        <x:v>46247.44047087963</x:v>
      </x:c>
      <x:c r="F12" s="9" t="n">
        <x:v>46247.44105116898</x:v>
      </x:c>
      <x:c r="G12" s="1" t="n">
        <x:f>D12-1</x:f>
        <x:v>19</x:v>
      </x:c>
      <x:c r="H12" s="16" t="n">
        <x:f>(F12-E12)*86400</x:f>
        <x:v>50.13699985574931</x:v>
      </x:c>
      <x:c r="I12" s="16" t="n">
        <x:f>H12/G12</x:f>
        <x:v>2.638789466092069</x:v>
      </x:c>
      <x:c r="J12" s="16" t="n">
        <x:f>60*G12/H12</x:f>
        <x:v>22.737698770966126</x:v>
      </x:c>
      <x:c r="K12" s="1" t="n">
        <x:v>2</x:v>
      </x:c>
      <x:c r="L12" s="1"/>
      <x:c r="M12" s="1"/>
    </x:row>
    <x:row r="13" ht="23" customHeight="1">
      <x:c r="A13" s="1" t="n">
        <x:v>2</x:v>
      </x:c>
      <x:c r="B13" s="17" t="str">
        <x:v>Fast</x:v>
      </x:c>
      <x:c r="C13" s="1" t="n">
        <x:v>2</x:v>
      </x:c>
      <x:c r="D13" s="1" t="n">
        <x:v>10</x:v>
      </x:c>
      <x:c r="E13" s="9" t="n">
        <x:v>46247.44182554398</x:v>
      </x:c>
      <x:c r="F13" s="9" t="n">
        <x:v>46247.442032754625</x:v>
      </x:c>
      <x:c r="G13" s="1" t="n">
        <x:f>D13-1</x:f>
        <x:v>9</x:v>
      </x:c>
      <x:c r="H13" s="16" t="n">
        <x:f>(F13-E13)*86400</x:f>
        <x:v>17.90299960412085</x:v>
      </x:c>
      <x:c r="I13" s="16" t="n">
        <x:f>H13/G13</x:f>
        <x:v>1.98922217823565</x:v>
      </x:c>
      <x:c r="J13" s="16" t="n">
        <x:f>60*G13/H13</x:f>
        <x:v>30.162543257594926</x:v>
      </x:c>
      <x:c r="K13" s="1" t="n">
        <x:v>0</x:v>
      </x:c>
      <x:c r="L13" s="1"/>
      <x:c r="M13" s="1"/>
    </x:row>
    <x:row r="14" ht="23" customHeight="1">
      <x:c r="A14" s="1" t="n">
        <x:v>2</x:v>
      </x:c>
      <x:c r="B14" s="17" t="str">
        <x:v>Standard</x:v>
      </x:c>
      <x:c r="C14" s="1" t="n">
        <x:v>1</x:v>
      </x:c>
      <x:c r="D14" s="1" t="n">
        <x:v>20</x:v>
      </x:c>
      <x:c r="E14" s="9" t="n">
        <x:v>46247.442760405094</x:v>
      </x:c>
      <x:c r="F14" s="9" t="n">
        <x:v>46247.44442331018</x:v>
      </x:c>
      <x:c r="G14" s="1" t="n">
        <x:f>D14-1</x:f>
        <x:v>19</x:v>
      </x:c>
      <x:c r="H14" s="16" t="n">
        <x:f>(F14-E14)*86400</x:f>
        <x:v>143.67499959189445</x:v>
      </x:c>
      <x:c r="I14" s="16" t="n">
        <x:f>H14/G14</x:f>
        <x:v>7.561842083783918</x:v>
      </x:c>
      <x:c r="J14" s="16" t="n">
        <x:f>60*G14/H14</x:f>
        <x:v>7.934574583178311</x:v>
      </x:c>
      <x:c r="K14" s="1" t="n">
        <x:v>4</x:v>
      </x:c>
      <x:c r="L14" s="1"/>
      <x:c r="M14" s="1"/>
    </x:row>
    <x:row r="15" ht="23" customHeight="1">
      <x:c r="A15" s="1" t="n">
        <x:v>2</x:v>
      </x:c>
      <x:c r="B15" s="17" t="str">
        <x:v>Standard</x:v>
      </x:c>
      <x:c r="C15" s="1" t="n">
        <x:v>2</x:v>
      </x:c>
      <x:c r="D15" s="1" t="n">
        <x:v>10</x:v>
      </x:c>
      <x:c r="E15" s="9" t="n">
        <x:v>46247.44533533565</x:v>
      </x:c>
      <x:c r="F15" s="9" t="n">
        <x:v>46247.44608887732</x:v>
      </x:c>
      <x:c r="G15" s="1" t="n">
        <x:f>D15-1</x:f>
        <x:v>9</x:v>
      </x:c>
      <x:c r="H15" s="16" t="n">
        <x:f>(F15-E15)*86400</x:f>
        <x:v>65.10599995963275</x:v>
      </x:c>
      <x:c r="I15" s="16" t="n">
        <x:f>H15/G15</x:f>
        <x:v>7.2339999955147505</x:v>
      </x:c>
      <x:c r="J15" s="16" t="n">
        <x:f>60*G15/H15</x:f>
        <x:v>8.294166441415731</x:v>
      </x:c>
      <x:c r="K15" s="1" t="n">
        <x:v>0</x:v>
      </x:c>
      <x:c r="L15" s="1"/>
      <x:c r="M15" s="1"/>
    </x:row>
    <x:row r="16" ht="23" customHeight="1">
      <x:c r="A16" s="1" t="n">
        <x:v>2</x:v>
      </x:c>
      <x:c r="B16" s="17" t="str">
        <x:v>HighSecurity</x:v>
      </x:c>
      <x:c r="C16" s="1" t="n">
        <x:v>1</x:v>
      </x:c>
      <x:c r="D16" s="1" t="n">
        <x:v>20</x:v>
      </x:c>
      <x:c r="E16" s="9" t="n">
        <x:v>46247.44712085648</x:v>
      </x:c>
      <x:c r="F16" s="9" t="n">
        <x:v>46247.45022467592</x:v>
      </x:c>
      <x:c r="G16" s="1" t="n">
        <x:f>D16-1</x:f>
        <x:v>19</x:v>
      </x:c>
      <x:c r="H16" s="16" t="n">
        <x:f>(F16-E16)*86400</x:f>
        <x:v>268.1699998676777</x:v>
      </x:c>
      <x:c r="I16" s="16" t="n">
        <x:f>H16/G16</x:f>
        <x:v>14.114210519351458</x:v>
      </x:c>
      <x:c r="J16" s="16" t="n">
        <x:f>60*G16/H16</x:f>
        <x:v>4.251034793461263</x:v>
      </x:c>
      <x:c r="K16" s="1" t="n">
        <x:v>1</x:v>
      </x:c>
      <x:c r="L16" s="1"/>
      <x:c r="M16" s="1"/>
    </x:row>
    <x:row r="17" ht="23" customHeight="1">
      <x:c r="A17" s="1" t="n">
        <x:v>2</x:v>
      </x:c>
      <x:c r="B17" s="17" t="str">
        <x:v>HighSecurity</x:v>
      </x:c>
      <x:c r="C17" s="1" t="n">
        <x:v>2</x:v>
      </x:c>
      <x:c r="D17" s="1" t="n">
        <x:v>10</x:v>
      </x:c>
      <x:c r="E17" s="9" t="n">
        <x:v>46247.451026145834</x:v>
      </x:c>
      <x:c r="F17" s="9" t="n">
        <x:v>46247.4521596875</x:v>
      </x:c>
      <x:c r="G17" s="1" t="n">
        <x:f>D17-1</x:f>
        <x:v>9</x:v>
      </x:c>
      <x:c r="H17" s="16" t="n">
        <x:f>(F17-E17)*86400</x:f>
        <x:v>97.93799975886941</x:v>
      </x:c>
      <x:c r="I17" s="16" t="n">
        <x:f>H17/G17</x:f>
        <x:v>10.881999973207712</x:v>
      </x:c>
      <x:c r="J17" s="16" t="n">
        <x:f>60*G17/H17</x:f>
        <x:v>5.5136923495427705</x:v>
      </x:c>
      <x:c r="K17" s="1" t="n">
        <x:v>1</x:v>
      </x:c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30" customHeight="1">
      <x:c r="A20" s="4" t="str">
        <x:v>Successful entries only | all timing fields below are milliseconds</x:v>
      </x:c>
      <x:c r="B20" s="4" t="str">
        <x:v>Successful entries only | all timing fields below are milliseconds</x:v>
      </x:c>
      <x:c r="C20" s="4" t="str">
        <x:v>Successful entries only | all timing fields below are milliseconds</x:v>
      </x:c>
      <x:c r="D20" s="4" t="str">
        <x:v>Successful entries only | all timing fields below are milliseconds</x:v>
      </x:c>
      <x:c r="E20" s="4" t="str">
        <x:v>Successful entries only | all timing fields below are milliseconds</x:v>
      </x:c>
      <x:c r="F20" s="4" t="str">
        <x:v>Successful entries only | all timing fields below are milliseconds</x:v>
      </x:c>
      <x:c r="G20" s="4" t="str">
        <x:v>Successful entries only | all timing fields below are milliseconds</x:v>
      </x:c>
      <x:c r="H20" s="4" t="str">
        <x:v>Successful entries only | all timing fields below are milliseconds</x:v>
      </x:c>
      <x:c r="I20" s="4" t="str">
        <x:v>Successful entries only | all timing fields below are milliseconds</x:v>
      </x:c>
      <x:c r="J20" s="4" t="str">
        <x:v>Successful entries only | all timing fields below are milliseconds</x:v>
      </x:c>
      <x:c r="K20" s="4" t="str">
        <x:v>Successful entries only | all timing fields below are milliseconds</x:v>
      </x:c>
      <x:c r="L20" s="4" t="str">
        <x:v>Successful entries only | all timing fields below are milliseconds</x:v>
      </x:c>
      <x:c r="M20" s="4" t="str">
        <x:v>Successful entries only | all timing fields below are milliseconds</x:v>
      </x:c>
    </x:row>
    <x:row r="21" ht="35" customHeight="1">
      <x:c r="A21" s="5" t="str">
        <x:v>Only granted Entry rows are eligible. Slow observations are retained. N/A is preserved and never interpreted as zero.</x:v>
      </x:c>
      <x:c r="B21" s="5" t="str">
        <x:v>Only granted Entry rows are eligible. Slow observations are retained. N/A is preserved and never interpreted as zero.</x:v>
      </x:c>
      <x:c r="C21" s="5" t="str">
        <x:v>Only granted Entry rows are eligible. Slow observations are retained. N/A is preserved and never interpreted as zero.</x:v>
      </x:c>
      <x:c r="D21" s="5" t="str">
        <x:v>Only granted Entry rows are eligible. Slow observations are retained. N/A is preserved and never interpreted as zero.</x:v>
      </x:c>
      <x:c r="E21" s="5" t="str">
        <x:v>Only granted Entry rows are eligible. Slow observations are retained. N/A is preserved and never interpreted as zero.</x:v>
      </x:c>
      <x:c r="F21" s="5" t="str">
        <x:v>Only granted Entry rows are eligible. Slow observations are retained. N/A is preserved and never interpreted as zero.</x:v>
      </x:c>
      <x:c r="G21" s="5" t="str">
        <x:v>Only granted Entry rows are eligible. Slow observations are retained. N/A is preserved and never interpreted as zero.</x:v>
      </x:c>
      <x:c r="H21" s="5" t="str">
        <x:v>Only granted Entry rows are eligible. Slow observations are retained. N/A is preserved and never interpreted as zero.</x:v>
      </x:c>
      <x:c r="I21" s="5" t="str">
        <x:v>Only granted Entry rows are eligible. Slow observations are retained. N/A is preserved and never interpreted as zero.</x:v>
      </x:c>
      <x:c r="J21" s="5" t="str">
        <x:v>Only granted Entry rows are eligible. Slow observations are retained. N/A is preserved and never interpreted as zero.</x:v>
      </x:c>
      <x:c r="K21" s="5" t="str">
        <x:v>Only granted Entry rows are eligible. Slow observations are retained. N/A is preserved and never interpreted as zero.</x:v>
      </x:c>
      <x:c r="L21" s="5" t="str">
        <x:v>Only granted Entry rows are eligible. Slow observations are retained. N/A is preserved and never interpreted as zero.</x:v>
      </x:c>
      <x:c r="M21" s="5" t="str">
        <x:v>Only granted Entry rows are eligible. Slow observations are retained. N/A is preserved and never interpreted as zero.</x:v>
      </x:c>
    </x:row>
    <x:row r="22" ht="44" customHeight="1">
      <x:c r="A22" s="8" t="str">
        <x:v>Batch</x:v>
      </x:c>
      <x:c r="B22" s="8" t="str">
        <x:v>Mode</x:v>
      </x:c>
      <x:c r="C22" s="8" t="str">
        <x:v>Timestamp</x:v>
      </x:c>
      <x:c r="D22" s="8" t="str">
        <x:v>NFC system</x:v>
      </x:c>
      <x:c r="E22" s="8" t="str">
        <x:v>PIN user</x:v>
      </x:c>
      <x:c r="F22" s="8" t="str">
        <x:v>PIN system</x:v>
      </x:c>
      <x:c r="G22" s="8" t="str">
        <x:v>QR user</x:v>
      </x:c>
      <x:c r="H22" s="8" t="str">
        <x:v>QR system</x:v>
      </x:c>
      <x:c r="I22" s="8" t="str">
        <x:v>Total user</x:v>
      </x:c>
      <x:c r="J22" s="8" t="str">
        <x:v>Total system</x:v>
      </x:c>
      <x:c r="K22" s="8" t="str">
        <x:v>DB query</x:v>
      </x:c>
      <x:c r="L22" s="8" t="str">
        <x:v>Source Excel row</x:v>
      </x:c>
      <x:c r="M22" s="8" t="str">
        <x:v>RawRecords row</x:v>
      </x:c>
    </x:row>
    <x:row r="23" ht="23" customHeight="1">
      <x:c r="A23" s="1" t="n">
        <x:v>1</x:v>
      </x:c>
      <x:c r="B23" s="1" t="str">
        <x:v>Fast</x:v>
      </x:c>
      <x:c r="C23" s="9" t="n">
        <x:f>RawRecords!A27</x:f>
        <x:v>46246.483159675925</x:v>
      </x:c>
      <x:c r="D23" s="10" t="n">
        <x:f>RawRecords!F27</x:f>
        <x:v>12.7375</x:v>
      </x:c>
      <x:c r="E23" s="10" t="str">
        <x:f>RawRecords!G27</x:f>
        <x:v>N/A (Bypassed)</x:v>
      </x:c>
      <x:c r="F23" s="10" t="str">
        <x:f>RawRecords!H27</x:f>
        <x:v>N/A (Bypassed)</x:v>
      </x:c>
      <x:c r="G23" s="10" t="str">
        <x:f>RawRecords!I27</x:f>
        <x:v>N/A (Bypassed)</x:v>
      </x:c>
      <x:c r="H23" s="10" t="str">
        <x:f>RawRecords!J27</x:f>
        <x:v>N/A (Bypassed)</x:v>
      </x:c>
      <x:c r="I23" s="10" t="str">
        <x:f>RawRecords!K27</x:f>
        <x:v>N/A</x:v>
      </x:c>
      <x:c r="J23" s="10" t="n">
        <x:f>RawRecords!L27</x:f>
        <x:v>12.7375</x:v>
      </x:c>
      <x:c r="K23" s="10" t="n">
        <x:f>RawRecords!M27</x:f>
        <x:v>3.9824</x:v>
      </x:c>
      <x:c r="L23" s="1" t="n">
        <x:v>22</x:v>
      </x:c>
      <x:c r="M23" s="1" t="n">
        <x:v>27</x:v>
      </x:c>
    </x:row>
    <x:row r="24" ht="23" customHeight="1">
      <x:c r="A24" s="1" t="n">
        <x:v>1</x:v>
      </x:c>
      <x:c r="B24" s="1" t="str">
        <x:v>Fast</x:v>
      </x:c>
      <x:c r="C24" s="9" t="n">
        <x:f>RawRecords!A28</x:f>
        <x:v>46246.48312329861</x:v>
      </x:c>
      <x:c r="D24" s="10" t="n">
        <x:f>RawRecords!F28</x:f>
        <x:v>10.7064</x:v>
      </x:c>
      <x:c r="E24" s="10" t="str">
        <x:f>RawRecords!G28</x:f>
        <x:v>N/A (Bypassed)</x:v>
      </x:c>
      <x:c r="F24" s="10" t="str">
        <x:f>RawRecords!H28</x:f>
        <x:v>N/A (Bypassed)</x:v>
      </x:c>
      <x:c r="G24" s="10" t="str">
        <x:f>RawRecords!I28</x:f>
        <x:v>N/A (Bypassed)</x:v>
      </x:c>
      <x:c r="H24" s="10" t="str">
        <x:f>RawRecords!J28</x:f>
        <x:v>N/A (Bypassed)</x:v>
      </x:c>
      <x:c r="I24" s="10" t="str">
        <x:f>RawRecords!K28</x:f>
        <x:v>N/A</x:v>
      </x:c>
      <x:c r="J24" s="10" t="n">
        <x:f>RawRecords!L28</x:f>
        <x:v>10.7064</x:v>
      </x:c>
      <x:c r="K24" s="10" t="n">
        <x:f>RawRecords!M28</x:f>
        <x:v>2.4412</x:v>
      </x:c>
      <x:c r="L24" s="1" t="n">
        <x:v>23</x:v>
      </x:c>
      <x:c r="M24" s="1" t="n">
        <x:v>28</x:v>
      </x:c>
    </x:row>
    <x:row r="25" ht="23" customHeight="1">
      <x:c r="A25" s="1" t="n">
        <x:v>1</x:v>
      </x:c>
      <x:c r="B25" s="1" t="str">
        <x:v>Fast</x:v>
      </x:c>
      <x:c r="C25" s="9" t="n">
        <x:f>RawRecords!A29</x:f>
        <x:v>46246.48309548611</x:v>
      </x:c>
      <x:c r="D25" s="10" t="n">
        <x:f>RawRecords!F29</x:f>
        <x:v>10.3644</x:v>
      </x:c>
      <x:c r="E25" s="10" t="str">
        <x:f>RawRecords!G29</x:f>
        <x:v>N/A (Bypassed)</x:v>
      </x:c>
      <x:c r="F25" s="10" t="str">
        <x:f>RawRecords!H29</x:f>
        <x:v>N/A (Bypassed)</x:v>
      </x:c>
      <x:c r="G25" s="10" t="str">
        <x:f>RawRecords!I29</x:f>
        <x:v>N/A (Bypassed)</x:v>
      </x:c>
      <x:c r="H25" s="10" t="str">
        <x:f>RawRecords!J29</x:f>
        <x:v>N/A (Bypassed)</x:v>
      </x:c>
      <x:c r="I25" s="10" t="str">
        <x:f>RawRecords!K29</x:f>
        <x:v>N/A</x:v>
      </x:c>
      <x:c r="J25" s="10" t="n">
        <x:f>RawRecords!L29</x:f>
        <x:v>10.3644</x:v>
      </x:c>
      <x:c r="K25" s="10" t="n">
        <x:f>RawRecords!M29</x:f>
        <x:v>2.8039</x:v>
      </x:c>
      <x:c r="L25" s="1" t="n">
        <x:v>24</x:v>
      </x:c>
      <x:c r="M25" s="1" t="n">
        <x:v>29</x:v>
      </x:c>
    </x:row>
    <x:row r="26" ht="23" customHeight="1">
      <x:c r="A26" s="1" t="n">
        <x:v>1</x:v>
      </x:c>
      <x:c r="B26" s="1" t="str">
        <x:v>Fast</x:v>
      </x:c>
      <x:c r="C26" s="9" t="n">
        <x:f>RawRecords!A30</x:f>
        <x:v>46246.48306452546</x:v>
      </x:c>
      <x:c r="D26" s="10" t="n">
        <x:f>RawRecords!F30</x:f>
        <x:v>9.6965</x:v>
      </x:c>
      <x:c r="E26" s="10" t="str">
        <x:f>RawRecords!G30</x:f>
        <x:v>N/A (Bypassed)</x:v>
      </x:c>
      <x:c r="F26" s="10" t="str">
        <x:f>RawRecords!H30</x:f>
        <x:v>N/A (Bypassed)</x:v>
      </x:c>
      <x:c r="G26" s="10" t="str">
        <x:f>RawRecords!I30</x:f>
        <x:v>N/A (Bypassed)</x:v>
      </x:c>
      <x:c r="H26" s="10" t="str">
        <x:f>RawRecords!J30</x:f>
        <x:v>N/A (Bypassed)</x:v>
      </x:c>
      <x:c r="I26" s="10" t="str">
        <x:f>RawRecords!K30</x:f>
        <x:v>N/A</x:v>
      </x:c>
      <x:c r="J26" s="10" t="n">
        <x:f>RawRecords!L30</x:f>
        <x:v>9.6965</x:v>
      </x:c>
      <x:c r="K26" s="10" t="n">
        <x:f>RawRecords!M30</x:f>
        <x:v>2.3245</x:v>
      </x:c>
      <x:c r="L26" s="1" t="n">
        <x:v>25</x:v>
      </x:c>
      <x:c r="M26" s="1" t="n">
        <x:v>30</x:v>
      </x:c>
    </x:row>
    <x:row r="27" ht="23" customHeight="1">
      <x:c r="A27" s="1" t="n">
        <x:v>1</x:v>
      </x:c>
      <x:c r="B27" s="1" t="str">
        <x:v>Fast</x:v>
      </x:c>
      <x:c r="C27" s="9" t="n">
        <x:f>RawRecords!A31</x:f>
        <x:v>46246.48303545139</x:v>
      </x:c>
      <x:c r="D27" s="10" t="n">
        <x:f>RawRecords!F31</x:f>
        <x:v>12.2639</x:v>
      </x:c>
      <x:c r="E27" s="10" t="str">
        <x:f>RawRecords!G31</x:f>
        <x:v>N/A (Bypassed)</x:v>
      </x:c>
      <x:c r="F27" s="10" t="str">
        <x:f>RawRecords!H31</x:f>
        <x:v>N/A (Bypassed)</x:v>
      </x:c>
      <x:c r="G27" s="10" t="str">
        <x:f>RawRecords!I31</x:f>
        <x:v>N/A (Bypassed)</x:v>
      </x:c>
      <x:c r="H27" s="10" t="str">
        <x:f>RawRecords!J31</x:f>
        <x:v>N/A (Bypassed)</x:v>
      </x:c>
      <x:c r="I27" s="10" t="str">
        <x:f>RawRecords!K31</x:f>
        <x:v>N/A</x:v>
      </x:c>
      <x:c r="J27" s="10" t="n">
        <x:f>RawRecords!L31</x:f>
        <x:v>12.2639</x:v>
      </x:c>
      <x:c r="K27" s="10" t="n">
        <x:f>RawRecords!M31</x:f>
        <x:v>2.6082</x:v>
      </x:c>
      <x:c r="L27" s="1" t="n">
        <x:v>26</x:v>
      </x:c>
      <x:c r="M27" s="1" t="n">
        <x:v>31</x:v>
      </x:c>
    </x:row>
    <x:row r="28" ht="23" customHeight="1">
      <x:c r="A28" s="1" t="n">
        <x:v>1</x:v>
      </x:c>
      <x:c r="B28" s="1" t="str">
        <x:v>Fast</x:v>
      </x:c>
      <x:c r="C28" s="9" t="n">
        <x:f>RawRecords!A32</x:f>
        <x:v>46246.483005625</x:v>
      </x:c>
      <x:c r="D28" s="10" t="n">
        <x:f>RawRecords!F32</x:f>
        <x:v>12.2254</x:v>
      </x:c>
      <x:c r="E28" s="10" t="str">
        <x:f>RawRecords!G32</x:f>
        <x:v>N/A (Bypassed)</x:v>
      </x:c>
      <x:c r="F28" s="10" t="str">
        <x:f>RawRecords!H32</x:f>
        <x:v>N/A (Bypassed)</x:v>
      </x:c>
      <x:c r="G28" s="10" t="str">
        <x:f>RawRecords!I32</x:f>
        <x:v>N/A (Bypassed)</x:v>
      </x:c>
      <x:c r="H28" s="10" t="str">
        <x:f>RawRecords!J32</x:f>
        <x:v>N/A (Bypassed)</x:v>
      </x:c>
      <x:c r="I28" s="10" t="str">
        <x:f>RawRecords!K32</x:f>
        <x:v>N/A</x:v>
      </x:c>
      <x:c r="J28" s="10" t="n">
        <x:f>RawRecords!L32</x:f>
        <x:v>12.2254</x:v>
      </x:c>
      <x:c r="K28" s="10" t="n">
        <x:f>RawRecords!M32</x:f>
        <x:v>2.5838</x:v>
      </x:c>
      <x:c r="L28" s="1" t="n">
        <x:v>27</x:v>
      </x:c>
      <x:c r="M28" s="1" t="n">
        <x:v>32</x:v>
      </x:c>
    </x:row>
    <x:row r="29" ht="23" customHeight="1">
      <x:c r="A29" s="1" t="n">
        <x:v>1</x:v>
      </x:c>
      <x:c r="B29" s="1" t="str">
        <x:v>Fast</x:v>
      </x:c>
      <x:c r="C29" s="9" t="n">
        <x:f>RawRecords!A33</x:f>
        <x:v>46246.48297525463</x:v>
      </x:c>
      <x:c r="D29" s="10" t="n">
        <x:f>RawRecords!F33</x:f>
        <x:v>9.8804</x:v>
      </x:c>
      <x:c r="E29" s="10" t="str">
        <x:f>RawRecords!G33</x:f>
        <x:v>N/A (Bypassed)</x:v>
      </x:c>
      <x:c r="F29" s="10" t="str">
        <x:f>RawRecords!H33</x:f>
        <x:v>N/A (Bypassed)</x:v>
      </x:c>
      <x:c r="G29" s="10" t="str">
        <x:f>RawRecords!I33</x:f>
        <x:v>N/A (Bypassed)</x:v>
      </x:c>
      <x:c r="H29" s="10" t="str">
        <x:f>RawRecords!J33</x:f>
        <x:v>N/A (Bypassed)</x:v>
      </x:c>
      <x:c r="I29" s="10" t="str">
        <x:f>RawRecords!K33</x:f>
        <x:v>N/A</x:v>
      </x:c>
      <x:c r="J29" s="10" t="n">
        <x:f>RawRecords!L33</x:f>
        <x:v>9.8804</x:v>
      </x:c>
      <x:c r="K29" s="10" t="n">
        <x:f>RawRecords!M33</x:f>
        <x:v>2.4898</x:v>
      </x:c>
      <x:c r="L29" s="1" t="n">
        <x:v>28</x:v>
      </x:c>
      <x:c r="M29" s="1" t="n">
        <x:v>33</x:v>
      </x:c>
    </x:row>
    <x:row r="30" ht="23" customHeight="1">
      <x:c r="A30" s="1" t="n">
        <x:v>1</x:v>
      </x:c>
      <x:c r="B30" s="1" t="str">
        <x:v>Fast</x:v>
      </x:c>
      <x:c r="C30" s="9" t="n">
        <x:f>RawRecords!A34</x:f>
        <x:v>46246.482945324075</x:v>
      </x:c>
      <x:c r="D30" s="10" t="n">
        <x:f>RawRecords!F34</x:f>
        <x:v>11.6105</x:v>
      </x:c>
      <x:c r="E30" s="10" t="str">
        <x:f>RawRecords!G34</x:f>
        <x:v>N/A (Bypassed)</x:v>
      </x:c>
      <x:c r="F30" s="10" t="str">
        <x:f>RawRecords!H34</x:f>
        <x:v>N/A (Bypassed)</x:v>
      </x:c>
      <x:c r="G30" s="10" t="str">
        <x:f>RawRecords!I34</x:f>
        <x:v>N/A (Bypassed)</x:v>
      </x:c>
      <x:c r="H30" s="10" t="str">
        <x:f>RawRecords!J34</x:f>
        <x:v>N/A (Bypassed)</x:v>
      </x:c>
      <x:c r="I30" s="10" t="str">
        <x:f>RawRecords!K34</x:f>
        <x:v>N/A</x:v>
      </x:c>
      <x:c r="J30" s="10" t="n">
        <x:f>RawRecords!L34</x:f>
        <x:v>11.6105</x:v>
      </x:c>
      <x:c r="K30" s="10" t="n">
        <x:f>RawRecords!M34</x:f>
        <x:v>2.5734</x:v>
      </x:c>
      <x:c r="L30" s="1" t="n">
        <x:v>29</x:v>
      </x:c>
      <x:c r="M30" s="1" t="n">
        <x:v>34</x:v>
      </x:c>
    </x:row>
    <x:row r="31" ht="23" customHeight="1">
      <x:c r="A31" s="1" t="n">
        <x:v>1</x:v>
      </x:c>
      <x:c r="B31" s="1" t="str">
        <x:v>Fast</x:v>
      </x:c>
      <x:c r="C31" s="9" t="n">
        <x:f>RawRecords!A35</x:f>
        <x:v>46246.48290890046</x:v>
      </x:c>
      <x:c r="D31" s="10" t="n">
        <x:f>RawRecords!F35</x:f>
        <x:v>11.6921</x:v>
      </x:c>
      <x:c r="E31" s="10" t="str">
        <x:f>RawRecords!G35</x:f>
        <x:v>N/A (Bypassed)</x:v>
      </x:c>
      <x:c r="F31" s="10" t="str">
        <x:f>RawRecords!H35</x:f>
        <x:v>N/A (Bypassed)</x:v>
      </x:c>
      <x:c r="G31" s="10" t="str">
        <x:f>RawRecords!I35</x:f>
        <x:v>N/A (Bypassed)</x:v>
      </x:c>
      <x:c r="H31" s="10" t="str">
        <x:f>RawRecords!J35</x:f>
        <x:v>N/A (Bypassed)</x:v>
      </x:c>
      <x:c r="I31" s="10" t="str">
        <x:f>RawRecords!K35</x:f>
        <x:v>N/A</x:v>
      </x:c>
      <x:c r="J31" s="10" t="n">
        <x:f>RawRecords!L35</x:f>
        <x:v>11.6921</x:v>
      </x:c>
      <x:c r="K31" s="10" t="n">
        <x:f>RawRecords!M35</x:f>
        <x:v>2.5541</x:v>
      </x:c>
      <x:c r="L31" s="1" t="n">
        <x:v>30</x:v>
      </x:c>
      <x:c r="M31" s="1" t="n">
        <x:v>35</x:v>
      </x:c>
    </x:row>
    <x:row r="32" ht="23" customHeight="1">
      <x:c r="A32" s="1" t="n">
        <x:v>1</x:v>
      </x:c>
      <x:c r="B32" s="1" t="str">
        <x:v>Fast</x:v>
      </x:c>
      <x:c r="C32" s="9" t="n">
        <x:f>RawRecords!A36</x:f>
        <x:v>46246.48287958333</x:v>
      </x:c>
      <x:c r="D32" s="10" t="n">
        <x:f>RawRecords!F36</x:f>
        <x:v>10.7215</x:v>
      </x:c>
      <x:c r="E32" s="10" t="str">
        <x:f>RawRecords!G36</x:f>
        <x:v>N/A (Bypassed)</x:v>
      </x:c>
      <x:c r="F32" s="10" t="str">
        <x:f>RawRecords!H36</x:f>
        <x:v>N/A (Bypassed)</x:v>
      </x:c>
      <x:c r="G32" s="10" t="str">
        <x:f>RawRecords!I36</x:f>
        <x:v>N/A (Bypassed)</x:v>
      </x:c>
      <x:c r="H32" s="10" t="str">
        <x:f>RawRecords!J36</x:f>
        <x:v>N/A (Bypassed)</x:v>
      </x:c>
      <x:c r="I32" s="10" t="str">
        <x:f>RawRecords!K36</x:f>
        <x:v>N/A</x:v>
      </x:c>
      <x:c r="J32" s="10" t="n">
        <x:f>RawRecords!L36</x:f>
        <x:v>10.7215</x:v>
      </x:c>
      <x:c r="K32" s="10" t="n">
        <x:f>RawRecords!M36</x:f>
        <x:v>2.5721</x:v>
      </x:c>
      <x:c r="L32" s="1" t="n">
        <x:v>31</x:v>
      </x:c>
      <x:c r="M32" s="1" t="n">
        <x:v>36</x:v>
      </x:c>
    </x:row>
    <x:row r="33" ht="23" customHeight="1">
      <x:c r="A33" s="1" t="n">
        <x:v>1</x:v>
      </x:c>
      <x:c r="B33" s="1" t="str">
        <x:v>Fast</x:v>
      </x:c>
      <x:c r="C33" s="9" t="n">
        <x:f>RawRecords!A37</x:f>
        <x:v>46246.48283842593</x:v>
      </x:c>
      <x:c r="D33" s="10" t="n">
        <x:f>RawRecords!F37</x:f>
        <x:v>12.1325</x:v>
      </x:c>
      <x:c r="E33" s="10" t="str">
        <x:f>RawRecords!G37</x:f>
        <x:v>N/A (Bypassed)</x:v>
      </x:c>
      <x:c r="F33" s="10" t="str">
        <x:f>RawRecords!H37</x:f>
        <x:v>N/A (Bypassed)</x:v>
      </x:c>
      <x:c r="G33" s="10" t="str">
        <x:f>RawRecords!I37</x:f>
        <x:v>N/A (Bypassed)</x:v>
      </x:c>
      <x:c r="H33" s="10" t="str">
        <x:f>RawRecords!J37</x:f>
        <x:v>N/A (Bypassed)</x:v>
      </x:c>
      <x:c r="I33" s="10" t="str">
        <x:f>RawRecords!K37</x:f>
        <x:v>N/A</x:v>
      </x:c>
      <x:c r="J33" s="10" t="n">
        <x:f>RawRecords!L37</x:f>
        <x:v>12.1325</x:v>
      </x:c>
      <x:c r="K33" s="10" t="n">
        <x:f>RawRecords!M37</x:f>
        <x:v>2.7823</x:v>
      </x:c>
      <x:c r="L33" s="1" t="n">
        <x:v>32</x:v>
      </x:c>
      <x:c r="M33" s="1" t="n">
        <x:v>37</x:v>
      </x:c>
    </x:row>
    <x:row r="34" ht="23" customHeight="1">
      <x:c r="A34" s="1" t="n">
        <x:v>1</x:v>
      </x:c>
      <x:c r="B34" s="1" t="str">
        <x:v>Fast</x:v>
      </x:c>
      <x:c r="C34" s="9" t="n">
        <x:f>RawRecords!A38</x:f>
        <x:v>46246.48281179398</x:v>
      </x:c>
      <x:c r="D34" s="10" t="n">
        <x:f>RawRecords!F38</x:f>
        <x:v>11.8039</x:v>
      </x:c>
      <x:c r="E34" s="10" t="str">
        <x:f>RawRecords!G38</x:f>
        <x:v>N/A (Bypassed)</x:v>
      </x:c>
      <x:c r="F34" s="10" t="str">
        <x:f>RawRecords!H38</x:f>
        <x:v>N/A (Bypassed)</x:v>
      </x:c>
      <x:c r="G34" s="10" t="str">
        <x:f>RawRecords!I38</x:f>
        <x:v>N/A (Bypassed)</x:v>
      </x:c>
      <x:c r="H34" s="10" t="str">
        <x:f>RawRecords!J38</x:f>
        <x:v>N/A (Bypassed)</x:v>
      </x:c>
      <x:c r="I34" s="10" t="str">
        <x:f>RawRecords!K38</x:f>
        <x:v>N/A</x:v>
      </x:c>
      <x:c r="J34" s="10" t="n">
        <x:f>RawRecords!L38</x:f>
        <x:v>11.8039</x:v>
      </x:c>
      <x:c r="K34" s="10" t="n">
        <x:f>RawRecords!M38</x:f>
        <x:v>2.6736</x:v>
      </x:c>
      <x:c r="L34" s="1" t="n">
        <x:v>33</x:v>
      </x:c>
      <x:c r="M34" s="1" t="n">
        <x:v>38</x:v>
      </x:c>
    </x:row>
    <x:row r="35" ht="23" customHeight="1">
      <x:c r="A35" s="1" t="n">
        <x:v>1</x:v>
      </x:c>
      <x:c r="B35" s="1" t="str">
        <x:v>Fast</x:v>
      </x:c>
      <x:c r="C35" s="9" t="n">
        <x:f>RawRecords!A39</x:f>
        <x:v>46246.48275434028</x:v>
      </x:c>
      <x:c r="D35" s="10" t="n">
        <x:f>RawRecords!F39</x:f>
        <x:v>10.8993</x:v>
      </x:c>
      <x:c r="E35" s="10" t="str">
        <x:f>RawRecords!G39</x:f>
        <x:v>N/A (Bypassed)</x:v>
      </x:c>
      <x:c r="F35" s="10" t="str">
        <x:f>RawRecords!H39</x:f>
        <x:v>N/A (Bypassed)</x:v>
      </x:c>
      <x:c r="G35" s="10" t="str">
        <x:f>RawRecords!I39</x:f>
        <x:v>N/A (Bypassed)</x:v>
      </x:c>
      <x:c r="H35" s="10" t="str">
        <x:f>RawRecords!J39</x:f>
        <x:v>N/A (Bypassed)</x:v>
      </x:c>
      <x:c r="I35" s="10" t="str">
        <x:f>RawRecords!K39</x:f>
        <x:v>N/A</x:v>
      </x:c>
      <x:c r="J35" s="10" t="n">
        <x:f>RawRecords!L39</x:f>
        <x:v>10.8993</x:v>
      </x:c>
      <x:c r="K35" s="10" t="n">
        <x:f>RawRecords!M39</x:f>
        <x:v>2.4122</x:v>
      </x:c>
      <x:c r="L35" s="1" t="n">
        <x:v>34</x:v>
      </x:c>
      <x:c r="M35" s="1" t="n">
        <x:v>39</x:v>
      </x:c>
    </x:row>
    <x:row r="36" ht="23" customHeight="1">
      <x:c r="A36" s="1" t="n">
        <x:v>1</x:v>
      </x:c>
      <x:c r="B36" s="1" t="str">
        <x:v>Fast</x:v>
      </x:c>
      <x:c r="C36" s="9" t="n">
        <x:f>RawRecords!A40</x:f>
        <x:v>46246.48271689814</x:v>
      </x:c>
      <x:c r="D36" s="10" t="n">
        <x:f>RawRecords!F40</x:f>
        <x:v>12.3487</x:v>
      </x:c>
      <x:c r="E36" s="10" t="str">
        <x:f>RawRecords!G40</x:f>
        <x:v>N/A (Bypassed)</x:v>
      </x:c>
      <x:c r="F36" s="10" t="str">
        <x:f>RawRecords!H40</x:f>
        <x:v>N/A (Bypassed)</x:v>
      </x:c>
      <x:c r="G36" s="10" t="str">
        <x:f>RawRecords!I40</x:f>
        <x:v>N/A (Bypassed)</x:v>
      </x:c>
      <x:c r="H36" s="10" t="str">
        <x:f>RawRecords!J40</x:f>
        <x:v>N/A (Bypassed)</x:v>
      </x:c>
      <x:c r="I36" s="10" t="str">
        <x:f>RawRecords!K40</x:f>
        <x:v>N/A</x:v>
      </x:c>
      <x:c r="J36" s="10" t="n">
        <x:f>RawRecords!L40</x:f>
        <x:v>12.3487</x:v>
      </x:c>
      <x:c r="K36" s="10" t="n">
        <x:f>RawRecords!M40</x:f>
        <x:v>5.0699</x:v>
      </x:c>
      <x:c r="L36" s="1" t="n">
        <x:v>35</x:v>
      </x:c>
      <x:c r="M36" s="1" t="n">
        <x:v>40</x:v>
      </x:c>
    </x:row>
    <x:row r="37" ht="23" customHeight="1">
      <x:c r="A37" s="1" t="n">
        <x:v>1</x:v>
      </x:c>
      <x:c r="B37" s="1" t="str">
        <x:v>Fast</x:v>
      </x:c>
      <x:c r="C37" s="9" t="n">
        <x:f>RawRecords!A41</x:f>
        <x:v>46246.482688958335</x:v>
      </x:c>
      <x:c r="D37" s="10" t="n">
        <x:f>RawRecords!F41</x:f>
        <x:v>11.4153</x:v>
      </x:c>
      <x:c r="E37" s="10" t="str">
        <x:f>RawRecords!G41</x:f>
        <x:v>N/A (Bypassed)</x:v>
      </x:c>
      <x:c r="F37" s="10" t="str">
        <x:f>RawRecords!H41</x:f>
        <x:v>N/A (Bypassed)</x:v>
      </x:c>
      <x:c r="G37" s="10" t="str">
        <x:f>RawRecords!I41</x:f>
        <x:v>N/A (Bypassed)</x:v>
      </x:c>
      <x:c r="H37" s="10" t="str">
        <x:f>RawRecords!J41</x:f>
        <x:v>N/A (Bypassed)</x:v>
      </x:c>
      <x:c r="I37" s="10" t="str">
        <x:f>RawRecords!K41</x:f>
        <x:v>N/A</x:v>
      </x:c>
      <x:c r="J37" s="10" t="n">
        <x:f>RawRecords!L41</x:f>
        <x:v>11.4153</x:v>
      </x:c>
      <x:c r="K37" s="10" t="n">
        <x:f>RawRecords!M41</x:f>
        <x:v>2.5513</x:v>
      </x:c>
      <x:c r="L37" s="1" t="n">
        <x:v>36</x:v>
      </x:c>
      <x:c r="M37" s="1" t="n">
        <x:v>41</x:v>
      </x:c>
    </x:row>
    <x:row r="38" ht="23" customHeight="1">
      <x:c r="A38" s="1" t="n">
        <x:v>1</x:v>
      </x:c>
      <x:c r="B38" s="1" t="str">
        <x:v>Fast</x:v>
      </x:c>
      <x:c r="C38" s="9" t="n">
        <x:f>RawRecords!A42</x:f>
        <x:v>46246.48265902778</x:v>
      </x:c>
      <x:c r="D38" s="10" t="n">
        <x:f>RawRecords!F42</x:f>
        <x:v>11.4156</x:v>
      </x:c>
      <x:c r="E38" s="10" t="str">
        <x:f>RawRecords!G42</x:f>
        <x:v>N/A (Bypassed)</x:v>
      </x:c>
      <x:c r="F38" s="10" t="str">
        <x:f>RawRecords!H42</x:f>
        <x:v>N/A (Bypassed)</x:v>
      </x:c>
      <x:c r="G38" s="10" t="str">
        <x:f>RawRecords!I42</x:f>
        <x:v>N/A (Bypassed)</x:v>
      </x:c>
      <x:c r="H38" s="10" t="str">
        <x:f>RawRecords!J42</x:f>
        <x:v>N/A (Bypassed)</x:v>
      </x:c>
      <x:c r="I38" s="10" t="str">
        <x:f>RawRecords!K42</x:f>
        <x:v>N/A</x:v>
      </x:c>
      <x:c r="J38" s="10" t="n">
        <x:f>RawRecords!L42</x:f>
        <x:v>11.4156</x:v>
      </x:c>
      <x:c r="K38" s="10" t="n">
        <x:f>RawRecords!M42</x:f>
        <x:v>2.7188</x:v>
      </x:c>
      <x:c r="L38" s="1" t="n">
        <x:v>37</x:v>
      </x:c>
      <x:c r="M38" s="1" t="n">
        <x:v>42</x:v>
      </x:c>
    </x:row>
    <x:row r="39" ht="23" customHeight="1">
      <x:c r="A39" s="1" t="n">
        <x:v>1</x:v>
      </x:c>
      <x:c r="B39" s="1" t="str">
        <x:v>Fast</x:v>
      </x:c>
      <x:c r="C39" s="9" t="n">
        <x:f>RawRecords!A43</x:f>
        <x:v>46246.48262844907</x:v>
      </x:c>
      <x:c r="D39" s="10" t="n">
        <x:f>RawRecords!F43</x:f>
        <x:v>11.4593</x:v>
      </x:c>
      <x:c r="E39" s="10" t="str">
        <x:f>RawRecords!G43</x:f>
        <x:v>N/A (Bypassed)</x:v>
      </x:c>
      <x:c r="F39" s="10" t="str">
        <x:f>RawRecords!H43</x:f>
        <x:v>N/A (Bypassed)</x:v>
      </x:c>
      <x:c r="G39" s="10" t="str">
        <x:f>RawRecords!I43</x:f>
        <x:v>N/A (Bypassed)</x:v>
      </x:c>
      <x:c r="H39" s="10" t="str">
        <x:f>RawRecords!J43</x:f>
        <x:v>N/A (Bypassed)</x:v>
      </x:c>
      <x:c r="I39" s="10" t="str">
        <x:f>RawRecords!K43</x:f>
        <x:v>N/A</x:v>
      </x:c>
      <x:c r="J39" s="10" t="n">
        <x:f>RawRecords!L43</x:f>
        <x:v>11.4593</x:v>
      </x:c>
      <x:c r="K39" s="10" t="n">
        <x:f>RawRecords!M43</x:f>
        <x:v>2.7103</x:v>
      </x:c>
      <x:c r="L39" s="1" t="n">
        <x:v>38</x:v>
      </x:c>
      <x:c r="M39" s="1" t="n">
        <x:v>43</x:v>
      </x:c>
    </x:row>
    <x:row r="40" ht="23" customHeight="1">
      <x:c r="A40" s="1" t="n">
        <x:v>1</x:v>
      </x:c>
      <x:c r="B40" s="1" t="str">
        <x:v>Fast</x:v>
      </x:c>
      <x:c r="C40" s="9" t="n">
        <x:f>RawRecords!A44</x:f>
        <x:v>46246.48258469907</x:v>
      </x:c>
      <x:c r="D40" s="10" t="n">
        <x:f>RawRecords!F44</x:f>
        <x:v>9.7297</x:v>
      </x:c>
      <x:c r="E40" s="10" t="str">
        <x:f>RawRecords!G44</x:f>
        <x:v>N/A (Bypassed)</x:v>
      </x:c>
      <x:c r="F40" s="10" t="str">
        <x:f>RawRecords!H44</x:f>
        <x:v>N/A (Bypassed)</x:v>
      </x:c>
      <x:c r="G40" s="10" t="str">
        <x:f>RawRecords!I44</x:f>
        <x:v>N/A (Bypassed)</x:v>
      </x:c>
      <x:c r="H40" s="10" t="str">
        <x:f>RawRecords!J44</x:f>
        <x:v>N/A (Bypassed)</x:v>
      </x:c>
      <x:c r="I40" s="10" t="str">
        <x:f>RawRecords!K44</x:f>
        <x:v>N/A</x:v>
      </x:c>
      <x:c r="J40" s="10" t="n">
        <x:f>RawRecords!L44</x:f>
        <x:v>9.7297</x:v>
      </x:c>
      <x:c r="K40" s="10" t="n">
        <x:f>RawRecords!M44</x:f>
        <x:v>0.7274</x:v>
      </x:c>
      <x:c r="L40" s="1" t="n">
        <x:v>39</x:v>
      </x:c>
      <x:c r="M40" s="1" t="n">
        <x:v>44</x:v>
      </x:c>
    </x:row>
    <x:row r="41" ht="23" customHeight="1">
      <x:c r="A41" s="1" t="n">
        <x:v>1</x:v>
      </x:c>
      <x:c r="B41" s="1" t="str">
        <x:v>Fast</x:v>
      </x:c>
      <x:c r="C41" s="9" t="n">
        <x:f>RawRecords!A45</x:f>
        <x:v>46246.48251436342</x:v>
      </x:c>
      <x:c r="D41" s="10" t="n">
        <x:f>RawRecords!F45</x:f>
        <x:v>11.5826</x:v>
      </x:c>
      <x:c r="E41" s="10" t="str">
        <x:f>RawRecords!G45</x:f>
        <x:v>N/A (Bypassed)</x:v>
      </x:c>
      <x:c r="F41" s="10" t="str">
        <x:f>RawRecords!H45</x:f>
        <x:v>N/A (Bypassed)</x:v>
      </x:c>
      <x:c r="G41" s="10" t="str">
        <x:f>RawRecords!I45</x:f>
        <x:v>N/A (Bypassed)</x:v>
      </x:c>
      <x:c r="H41" s="10" t="str">
        <x:f>RawRecords!J45</x:f>
        <x:v>N/A (Bypassed)</x:v>
      </x:c>
      <x:c r="I41" s="10" t="str">
        <x:f>RawRecords!K45</x:f>
        <x:v>N/A</x:v>
      </x:c>
      <x:c r="J41" s="10" t="n">
        <x:f>RawRecords!L45</x:f>
        <x:v>11.5826</x:v>
      </x:c>
      <x:c r="K41" s="10" t="n">
        <x:f>RawRecords!M45</x:f>
        <x:v>4.5545</x:v>
      </x:c>
      <x:c r="L41" s="1" t="n">
        <x:v>40</x:v>
      </x:c>
      <x:c r="M41" s="1" t="n">
        <x:v>45</x:v>
      </x:c>
    </x:row>
    <x:row r="42" ht="23" customHeight="1">
      <x:c r="A42" s="1" t="n">
        <x:v>1</x:v>
      </x:c>
      <x:c r="B42" s="1" t="str">
        <x:v>Fast</x:v>
      </x:c>
      <x:c r="C42" s="9" t="n">
        <x:f>RawRecords!A46</x:f>
        <x:v>46246.4824546875</x:v>
      </x:c>
      <x:c r="D42" s="10" t="n">
        <x:f>RawRecords!F46</x:f>
        <x:v>8.2594</x:v>
      </x:c>
      <x:c r="E42" s="10" t="str">
        <x:f>RawRecords!G46</x:f>
        <x:v>N/A (Bypassed)</x:v>
      </x:c>
      <x:c r="F42" s="10" t="str">
        <x:f>RawRecords!H46</x:f>
        <x:v>N/A (Bypassed)</x:v>
      </x:c>
      <x:c r="G42" s="10" t="str">
        <x:f>RawRecords!I46</x:f>
        <x:v>N/A (Bypassed)</x:v>
      </x:c>
      <x:c r="H42" s="10" t="str">
        <x:f>RawRecords!J46</x:f>
        <x:v>N/A (Bypassed)</x:v>
      </x:c>
      <x:c r="I42" s="10" t="str">
        <x:f>RawRecords!K46</x:f>
        <x:v>N/A</x:v>
      </x:c>
      <x:c r="J42" s="10" t="n">
        <x:f>RawRecords!L46</x:f>
        <x:v>8.2594</x:v>
      </x:c>
      <x:c r="K42" s="10" t="n">
        <x:f>RawRecords!M46</x:f>
        <x:v>0.6374</x:v>
      </x:c>
      <x:c r="L42" s="1" t="n">
        <x:v>41</x:v>
      </x:c>
      <x:c r="M42" s="1" t="n">
        <x:v>46</x:v>
      </x:c>
    </x:row>
    <x:row r="43" ht="23" customHeight="1">
      <x:c r="A43" s="1" t="n">
        <x:v>1</x:v>
      </x:c>
      <x:c r="B43" s="1" t="str">
        <x:v>Fast</x:v>
      </x:c>
      <x:c r="C43" s="9" t="n">
        <x:f>RawRecords!A67</x:f>
        <x:v>46246.48151479167</x:v>
      </x:c>
      <x:c r="D43" s="10" t="n">
        <x:f>RawRecords!F67</x:f>
        <x:v>10.4907</x:v>
      </x:c>
      <x:c r="E43" s="10" t="str">
        <x:f>RawRecords!G67</x:f>
        <x:v>N/A (Bypassed)</x:v>
      </x:c>
      <x:c r="F43" s="10" t="str">
        <x:f>RawRecords!H67</x:f>
        <x:v>N/A (Bypassed)</x:v>
      </x:c>
      <x:c r="G43" s="10" t="str">
        <x:f>RawRecords!I67</x:f>
        <x:v>N/A (Bypassed)</x:v>
      </x:c>
      <x:c r="H43" s="10" t="str">
        <x:f>RawRecords!J67</x:f>
        <x:v>N/A (Bypassed)</x:v>
      </x:c>
      <x:c r="I43" s="10" t="str">
        <x:f>RawRecords!K67</x:f>
        <x:v>N/A</x:v>
      </x:c>
      <x:c r="J43" s="10" t="n">
        <x:f>RawRecords!L67</x:f>
        <x:v>10.4907</x:v>
      </x:c>
      <x:c r="K43" s="10" t="n">
        <x:f>RawRecords!M67</x:f>
        <x:v>2.5649</x:v>
      </x:c>
      <x:c r="L43" s="1" t="n">
        <x:v>62</x:v>
      </x:c>
      <x:c r="M43" s="1" t="n">
        <x:v>67</x:v>
      </x:c>
    </x:row>
    <x:row r="44" ht="23" customHeight="1">
      <x:c r="A44" s="1" t="n">
        <x:v>1</x:v>
      </x:c>
      <x:c r="B44" s="1" t="str">
        <x:v>Fast</x:v>
      </x:c>
      <x:c r="C44" s="9" t="n">
        <x:f>RawRecords!A68</x:f>
        <x:v>46246.4814653588</x:v>
      </x:c>
      <x:c r="D44" s="10" t="n">
        <x:f>RawRecords!F68</x:f>
        <x:v>11.7109</x:v>
      </x:c>
      <x:c r="E44" s="10" t="str">
        <x:f>RawRecords!G68</x:f>
        <x:v>N/A (Bypassed)</x:v>
      </x:c>
      <x:c r="F44" s="10" t="str">
        <x:f>RawRecords!H68</x:f>
        <x:v>N/A (Bypassed)</x:v>
      </x:c>
      <x:c r="G44" s="10" t="str">
        <x:f>RawRecords!I68</x:f>
        <x:v>N/A (Bypassed)</x:v>
      </x:c>
      <x:c r="H44" s="10" t="str">
        <x:f>RawRecords!J68</x:f>
        <x:v>N/A (Bypassed)</x:v>
      </x:c>
      <x:c r="I44" s="10" t="str">
        <x:f>RawRecords!K68</x:f>
        <x:v>N/A</x:v>
      </x:c>
      <x:c r="J44" s="10" t="n">
        <x:f>RawRecords!L68</x:f>
        <x:v>11.7109</x:v>
      </x:c>
      <x:c r="K44" s="10" t="n">
        <x:f>RawRecords!M68</x:f>
        <x:v>2.5428</x:v>
      </x:c>
      <x:c r="L44" s="1" t="n">
        <x:v>63</x:v>
      </x:c>
      <x:c r="M44" s="1" t="n">
        <x:v>68</x:v>
      </x:c>
    </x:row>
    <x:row r="45" ht="23" customHeight="1">
      <x:c r="A45" s="1" t="n">
        <x:v>1</x:v>
      </x:c>
      <x:c r="B45" s="1" t="str">
        <x:v>Fast</x:v>
      </x:c>
      <x:c r="C45" s="9" t="n">
        <x:f>RawRecords!A69</x:f>
        <x:v>46246.481437870374</x:v>
      </x:c>
      <x:c r="D45" s="10" t="n">
        <x:f>RawRecords!F69</x:f>
        <x:v>10.877</x:v>
      </x:c>
      <x:c r="E45" s="10" t="str">
        <x:f>RawRecords!G69</x:f>
        <x:v>N/A (Bypassed)</x:v>
      </x:c>
      <x:c r="F45" s="10" t="str">
        <x:f>RawRecords!H69</x:f>
        <x:v>N/A (Bypassed)</x:v>
      </x:c>
      <x:c r="G45" s="10" t="str">
        <x:f>RawRecords!I69</x:f>
        <x:v>N/A (Bypassed)</x:v>
      </x:c>
      <x:c r="H45" s="10" t="str">
        <x:f>RawRecords!J69</x:f>
        <x:v>N/A (Bypassed)</x:v>
      </x:c>
      <x:c r="I45" s="10" t="str">
        <x:f>RawRecords!K69</x:f>
        <x:v>N/A</x:v>
      </x:c>
      <x:c r="J45" s="10" t="n">
        <x:f>RawRecords!L69</x:f>
        <x:v>10.877</x:v>
      </x:c>
      <x:c r="K45" s="10" t="n">
        <x:f>RawRecords!M69</x:f>
        <x:v>3.8053</x:v>
      </x:c>
      <x:c r="L45" s="1" t="n">
        <x:v>64</x:v>
      </x:c>
      <x:c r="M45" s="1" t="n">
        <x:v>69</x:v>
      </x:c>
    </x:row>
    <x:row r="46" ht="23" customHeight="1">
      <x:c r="A46" s="1" t="n">
        <x:v>1</x:v>
      </x:c>
      <x:c r="B46" s="1" t="str">
        <x:v>Fast</x:v>
      </x:c>
      <x:c r="C46" s="9" t="n">
        <x:f>RawRecords!A70</x:f>
        <x:v>46246.48140716435</x:v>
      </x:c>
      <x:c r="D46" s="10" t="n">
        <x:f>RawRecords!F70</x:f>
        <x:v>11.8622</x:v>
      </x:c>
      <x:c r="E46" s="10" t="str">
        <x:f>RawRecords!G70</x:f>
        <x:v>N/A (Bypassed)</x:v>
      </x:c>
      <x:c r="F46" s="10" t="str">
        <x:f>RawRecords!H70</x:f>
        <x:v>N/A (Bypassed)</x:v>
      </x:c>
      <x:c r="G46" s="10" t="str">
        <x:f>RawRecords!I70</x:f>
        <x:v>N/A (Bypassed)</x:v>
      </x:c>
      <x:c r="H46" s="10" t="str">
        <x:f>RawRecords!J70</x:f>
        <x:v>N/A (Bypassed)</x:v>
      </x:c>
      <x:c r="I46" s="10" t="str">
        <x:f>RawRecords!K70</x:f>
        <x:v>N/A</x:v>
      </x:c>
      <x:c r="J46" s="10" t="n">
        <x:f>RawRecords!L70</x:f>
        <x:v>11.8622</x:v>
      </x:c>
      <x:c r="K46" s="10" t="n">
        <x:f>RawRecords!M70</x:f>
        <x:v>4.515</x:v>
      </x:c>
      <x:c r="L46" s="1" t="n">
        <x:v>65</x:v>
      </x:c>
      <x:c r="M46" s="1" t="n">
        <x:v>70</x:v>
      </x:c>
    </x:row>
    <x:row r="47" ht="23" customHeight="1">
      <x:c r="A47" s="1" t="n">
        <x:v>1</x:v>
      </x:c>
      <x:c r="B47" s="1" t="str">
        <x:v>Fast</x:v>
      </x:c>
      <x:c r="C47" s="9" t="n">
        <x:f>RawRecords!A71</x:f>
        <x:v>46246.481377222226</x:v>
      </x:c>
      <x:c r="D47" s="10" t="n">
        <x:f>RawRecords!F71</x:f>
        <x:v>11.8115</x:v>
      </x:c>
      <x:c r="E47" s="10" t="str">
        <x:f>RawRecords!G71</x:f>
        <x:v>N/A (Bypassed)</x:v>
      </x:c>
      <x:c r="F47" s="10" t="str">
        <x:f>RawRecords!H71</x:f>
        <x:v>N/A (Bypassed)</x:v>
      </x:c>
      <x:c r="G47" s="10" t="str">
        <x:f>RawRecords!I71</x:f>
        <x:v>N/A (Bypassed)</x:v>
      </x:c>
      <x:c r="H47" s="10" t="str">
        <x:f>RawRecords!J71</x:f>
        <x:v>N/A (Bypassed)</x:v>
      </x:c>
      <x:c r="I47" s="10" t="str">
        <x:f>RawRecords!K71</x:f>
        <x:v>N/A</x:v>
      </x:c>
      <x:c r="J47" s="10" t="n">
        <x:f>RawRecords!L71</x:f>
        <x:v>11.8115</x:v>
      </x:c>
      <x:c r="K47" s="10" t="n">
        <x:f>RawRecords!M71</x:f>
        <x:v>2.531</x:v>
      </x:c>
      <x:c r="L47" s="1" t="n">
        <x:v>66</x:v>
      </x:c>
      <x:c r="M47" s="1" t="n">
        <x:v>71</x:v>
      </x:c>
    </x:row>
    <x:row r="48" ht="23" customHeight="1">
      <x:c r="A48" s="1" t="n">
        <x:v>1</x:v>
      </x:c>
      <x:c r="B48" s="1" t="str">
        <x:v>Fast</x:v>
      </x:c>
      <x:c r="C48" s="9" t="n">
        <x:f>RawRecords!A72</x:f>
        <x:v>46246.48135032407</x:v>
      </x:c>
      <x:c r="D48" s="10" t="n">
        <x:f>RawRecords!F72</x:f>
        <x:v>10.7301</x:v>
      </x:c>
      <x:c r="E48" s="10" t="str">
        <x:f>RawRecords!G72</x:f>
        <x:v>N/A (Bypassed)</x:v>
      </x:c>
      <x:c r="F48" s="10" t="str">
        <x:f>RawRecords!H72</x:f>
        <x:v>N/A (Bypassed)</x:v>
      </x:c>
      <x:c r="G48" s="10" t="str">
        <x:f>RawRecords!I72</x:f>
        <x:v>N/A (Bypassed)</x:v>
      </x:c>
      <x:c r="H48" s="10" t="str">
        <x:f>RawRecords!J72</x:f>
        <x:v>N/A (Bypassed)</x:v>
      </x:c>
      <x:c r="I48" s="10" t="str">
        <x:f>RawRecords!K72</x:f>
        <x:v>N/A</x:v>
      </x:c>
      <x:c r="J48" s="10" t="n">
        <x:f>RawRecords!L72</x:f>
        <x:v>10.7301</x:v>
      </x:c>
      <x:c r="K48" s="10" t="n">
        <x:f>RawRecords!M72</x:f>
        <x:v>2.561</x:v>
      </x:c>
      <x:c r="L48" s="1" t="n">
        <x:v>67</x:v>
      </x:c>
      <x:c r="M48" s="1" t="n">
        <x:v>72</x:v>
      </x:c>
    </x:row>
    <x:row r="49" ht="23" customHeight="1">
      <x:c r="A49" s="1" t="n">
        <x:v>1</x:v>
      </x:c>
      <x:c r="B49" s="1" t="str">
        <x:v>Fast</x:v>
      </x:c>
      <x:c r="C49" s="9" t="n">
        <x:f>RawRecords!A73</x:f>
        <x:v>46246.48132252315</x:v>
      </x:c>
      <x:c r="D49" s="10" t="n">
        <x:f>RawRecords!F73</x:f>
        <x:v>9.8633</x:v>
      </x:c>
      <x:c r="E49" s="10" t="str">
        <x:f>RawRecords!G73</x:f>
        <x:v>N/A (Bypassed)</x:v>
      </x:c>
      <x:c r="F49" s="10" t="str">
        <x:f>RawRecords!H73</x:f>
        <x:v>N/A (Bypassed)</x:v>
      </x:c>
      <x:c r="G49" s="10" t="str">
        <x:f>RawRecords!I73</x:f>
        <x:v>N/A (Bypassed)</x:v>
      </x:c>
      <x:c r="H49" s="10" t="str">
        <x:f>RawRecords!J73</x:f>
        <x:v>N/A (Bypassed)</x:v>
      </x:c>
      <x:c r="I49" s="10" t="str">
        <x:f>RawRecords!K73</x:f>
        <x:v>N/A</x:v>
      </x:c>
      <x:c r="J49" s="10" t="n">
        <x:f>RawRecords!L73</x:f>
        <x:v>9.8633</x:v>
      </x:c>
      <x:c r="K49" s="10" t="n">
        <x:f>RawRecords!M73</x:f>
        <x:v>2.5089</x:v>
      </x:c>
      <x:c r="L49" s="1" t="n">
        <x:v>68</x:v>
      </x:c>
      <x:c r="M49" s="1" t="n">
        <x:v>73</x:v>
      </x:c>
    </x:row>
    <x:row r="50" ht="23" customHeight="1">
      <x:c r="A50" s="1" t="n">
        <x:v>1</x:v>
      </x:c>
      <x:c r="B50" s="1" t="str">
        <x:v>Fast</x:v>
      </x:c>
      <x:c r="C50" s="9" t="n">
        <x:f>RawRecords!A74</x:f>
        <x:v>46246.48129387731</x:v>
      </x:c>
      <x:c r="D50" s="10" t="n">
        <x:f>RawRecords!F74</x:f>
        <x:v>10.8217</x:v>
      </x:c>
      <x:c r="E50" s="10" t="str">
        <x:f>RawRecords!G74</x:f>
        <x:v>N/A (Bypassed)</x:v>
      </x:c>
      <x:c r="F50" s="10" t="str">
        <x:f>RawRecords!H74</x:f>
        <x:v>N/A (Bypassed)</x:v>
      </x:c>
      <x:c r="G50" s="10" t="str">
        <x:f>RawRecords!I74</x:f>
        <x:v>N/A (Bypassed)</x:v>
      </x:c>
      <x:c r="H50" s="10" t="str">
        <x:f>RawRecords!J74</x:f>
        <x:v>N/A (Bypassed)</x:v>
      </x:c>
      <x:c r="I50" s="10" t="str">
        <x:f>RawRecords!K74</x:f>
        <x:v>N/A</x:v>
      </x:c>
      <x:c r="J50" s="10" t="n">
        <x:f>RawRecords!L74</x:f>
        <x:v>10.8217</x:v>
      </x:c>
      <x:c r="K50" s="10" t="n">
        <x:f>RawRecords!M74</x:f>
        <x:v>2.6054</x:v>
      </x:c>
      <x:c r="L50" s="1" t="n">
        <x:v>69</x:v>
      </x:c>
      <x:c r="M50" s="1" t="n">
        <x:v>74</x:v>
      </x:c>
    </x:row>
    <x:row r="51" ht="23" customHeight="1">
      <x:c r="A51" s="1" t="n">
        <x:v>1</x:v>
      </x:c>
      <x:c r="B51" s="1" t="str">
        <x:v>Fast</x:v>
      </x:c>
      <x:c r="C51" s="9" t="n">
        <x:f>RawRecords!A75</x:f>
        <x:v>46246.48126596065</x:v>
      </x:c>
      <x:c r="D51" s="10" t="n">
        <x:f>RawRecords!F75</x:f>
        <x:v>10.5837</x:v>
      </x:c>
      <x:c r="E51" s="10" t="str">
        <x:f>RawRecords!G75</x:f>
        <x:v>N/A (Bypassed)</x:v>
      </x:c>
      <x:c r="F51" s="10" t="str">
        <x:f>RawRecords!H75</x:f>
        <x:v>N/A (Bypassed)</x:v>
      </x:c>
      <x:c r="G51" s="10" t="str">
        <x:f>RawRecords!I75</x:f>
        <x:v>N/A (Bypassed)</x:v>
      </x:c>
      <x:c r="H51" s="10" t="str">
        <x:f>RawRecords!J75</x:f>
        <x:v>N/A (Bypassed)</x:v>
      </x:c>
      <x:c r="I51" s="10" t="str">
        <x:f>RawRecords!K75</x:f>
        <x:v>N/A</x:v>
      </x:c>
      <x:c r="J51" s="10" t="n">
        <x:f>RawRecords!L75</x:f>
        <x:v>10.5837</x:v>
      </x:c>
      <x:c r="K51" s="10" t="n">
        <x:f>RawRecords!M75</x:f>
        <x:v>2.5198</x:v>
      </x:c>
      <x:c r="L51" s="1" t="n">
        <x:v>70</x:v>
      </x:c>
      <x:c r="M51" s="1" t="n">
        <x:v>75</x:v>
      </x:c>
    </x:row>
    <x:row r="52" ht="23" customHeight="1">
      <x:c r="A52" s="1" t="n">
        <x:v>1</x:v>
      </x:c>
      <x:c r="B52" s="1" t="str">
        <x:v>Fast</x:v>
      </x:c>
      <x:c r="C52" s="9" t="n">
        <x:f>RawRecords!A76</x:f>
        <x:v>46246.48123943287</x:v>
      </x:c>
      <x:c r="D52" s="10" t="n">
        <x:f>RawRecords!F76</x:f>
        <x:v>11.4177</x:v>
      </x:c>
      <x:c r="E52" s="10" t="str">
        <x:f>RawRecords!G76</x:f>
        <x:v>N/A (Bypassed)</x:v>
      </x:c>
      <x:c r="F52" s="10" t="str">
        <x:f>RawRecords!H76</x:f>
        <x:v>N/A (Bypassed)</x:v>
      </x:c>
      <x:c r="G52" s="10" t="str">
        <x:f>RawRecords!I76</x:f>
        <x:v>N/A (Bypassed)</x:v>
      </x:c>
      <x:c r="H52" s="10" t="str">
        <x:f>RawRecords!J76</x:f>
        <x:v>N/A (Bypassed)</x:v>
      </x:c>
      <x:c r="I52" s="10" t="str">
        <x:f>RawRecords!K76</x:f>
        <x:v>N/A</x:v>
      </x:c>
      <x:c r="J52" s="10" t="n">
        <x:f>RawRecords!L76</x:f>
        <x:v>11.4177</x:v>
      </x:c>
      <x:c r="K52" s="10" t="n">
        <x:f>RawRecords!M76</x:f>
        <x:v>2.5021</x:v>
      </x:c>
      <x:c r="L52" s="1" t="n">
        <x:v>71</x:v>
      </x:c>
      <x:c r="M52" s="1" t="n">
        <x:v>76</x:v>
      </x:c>
    </x:row>
    <x:row r="53" ht="23" customHeight="1">
      <x:c r="A53" s="1" t="n">
        <x:v>1</x:v>
      </x:c>
      <x:c r="B53" s="1" t="str">
        <x:v>Fast</x:v>
      </x:c>
      <x:c r="C53" s="9" t="n">
        <x:f>RawRecords!A77</x:f>
        <x:v>46246.48121099537</x:v>
      </x:c>
      <x:c r="D53" s="10" t="n">
        <x:f>RawRecords!F77</x:f>
        <x:v>11.0797</x:v>
      </x:c>
      <x:c r="E53" s="10" t="str">
        <x:f>RawRecords!G77</x:f>
        <x:v>N/A (Bypassed)</x:v>
      </x:c>
      <x:c r="F53" s="10" t="str">
        <x:f>RawRecords!H77</x:f>
        <x:v>N/A (Bypassed)</x:v>
      </x:c>
      <x:c r="G53" s="10" t="str">
        <x:f>RawRecords!I77</x:f>
        <x:v>N/A (Bypassed)</x:v>
      </x:c>
      <x:c r="H53" s="10" t="str">
        <x:f>RawRecords!J77</x:f>
        <x:v>N/A (Bypassed)</x:v>
      </x:c>
      <x:c r="I53" s="10" t="str">
        <x:f>RawRecords!K77</x:f>
        <x:v>N/A</x:v>
      </x:c>
      <x:c r="J53" s="10" t="n">
        <x:f>RawRecords!L77</x:f>
        <x:v>11.0797</x:v>
      </x:c>
      <x:c r="K53" s="10" t="n">
        <x:f>RawRecords!M77</x:f>
        <x:v>2.6766</x:v>
      </x:c>
      <x:c r="L53" s="1" t="n">
        <x:v>72</x:v>
      </x:c>
      <x:c r="M53" s="1" t="n">
        <x:v>77</x:v>
      </x:c>
    </x:row>
    <x:row r="54" ht="23" customHeight="1">
      <x:c r="A54" s="1" t="n">
        <x:v>1</x:v>
      </x:c>
      <x:c r="B54" s="1" t="str">
        <x:v>Fast</x:v>
      </x:c>
      <x:c r="C54" s="9" t="n">
        <x:f>RawRecords!A78</x:f>
        <x:v>46246.4811815625</x:v>
      </x:c>
      <x:c r="D54" s="10" t="n">
        <x:f>RawRecords!F78</x:f>
        <x:v>9.6627</x:v>
      </x:c>
      <x:c r="E54" s="10" t="str">
        <x:f>RawRecords!G78</x:f>
        <x:v>N/A (Bypassed)</x:v>
      </x:c>
      <x:c r="F54" s="10" t="str">
        <x:f>RawRecords!H78</x:f>
        <x:v>N/A (Bypassed)</x:v>
      </x:c>
      <x:c r="G54" s="10" t="str">
        <x:f>RawRecords!I78</x:f>
        <x:v>N/A (Bypassed)</x:v>
      </x:c>
      <x:c r="H54" s="10" t="str">
        <x:f>RawRecords!J78</x:f>
        <x:v>N/A (Bypassed)</x:v>
      </x:c>
      <x:c r="I54" s="10" t="str">
        <x:f>RawRecords!K78</x:f>
        <x:v>N/A</x:v>
      </x:c>
      <x:c r="J54" s="10" t="n">
        <x:f>RawRecords!L78</x:f>
        <x:v>9.6627</x:v>
      </x:c>
      <x:c r="K54" s="10" t="n">
        <x:f>RawRecords!M78</x:f>
        <x:v>2.5059</x:v>
      </x:c>
      <x:c r="L54" s="1" t="n">
        <x:v>73</x:v>
      </x:c>
      <x:c r="M54" s="1" t="n">
        <x:v>78</x:v>
      </x:c>
    </x:row>
    <x:row r="55" ht="23" customHeight="1">
      <x:c r="A55" s="1" t="n">
        <x:v>1</x:v>
      </x:c>
      <x:c r="B55" s="1" t="str">
        <x:v>Fast</x:v>
      </x:c>
      <x:c r="C55" s="9" t="n">
        <x:f>RawRecords!A79</x:f>
        <x:v>46246.48115248843</x:v>
      </x:c>
      <x:c r="D55" s="10" t="n">
        <x:f>RawRecords!F79</x:f>
        <x:v>10.7219</x:v>
      </x:c>
      <x:c r="E55" s="10" t="str">
        <x:f>RawRecords!G79</x:f>
        <x:v>N/A (Bypassed)</x:v>
      </x:c>
      <x:c r="F55" s="10" t="str">
        <x:f>RawRecords!H79</x:f>
        <x:v>N/A (Bypassed)</x:v>
      </x:c>
      <x:c r="G55" s="10" t="str">
        <x:f>RawRecords!I79</x:f>
        <x:v>N/A (Bypassed)</x:v>
      </x:c>
      <x:c r="H55" s="10" t="str">
        <x:f>RawRecords!J79</x:f>
        <x:v>N/A (Bypassed)</x:v>
      </x:c>
      <x:c r="I55" s="10" t="str">
        <x:f>RawRecords!K79</x:f>
        <x:v>N/A</x:v>
      </x:c>
      <x:c r="J55" s="10" t="n">
        <x:f>RawRecords!L79</x:f>
        <x:v>10.7219</x:v>
      </x:c>
      <x:c r="K55" s="10" t="n">
        <x:f>RawRecords!M79</x:f>
        <x:v>2.5023</x:v>
      </x:c>
      <x:c r="L55" s="1" t="n">
        <x:v>74</x:v>
      </x:c>
      <x:c r="M55" s="1" t="n">
        <x:v>79</x:v>
      </x:c>
    </x:row>
    <x:row r="56" ht="23" customHeight="1">
      <x:c r="A56" s="1" t="n">
        <x:v>1</x:v>
      </x:c>
      <x:c r="B56" s="1" t="str">
        <x:v>Fast</x:v>
      </x:c>
      <x:c r="C56" s="9" t="n">
        <x:f>RawRecords!A80</x:f>
        <x:v>46246.48112408565</x:v>
      </x:c>
      <x:c r="D56" s="10" t="n">
        <x:f>RawRecords!F80</x:f>
        <x:v>12.7967</x:v>
      </x:c>
      <x:c r="E56" s="10" t="str">
        <x:f>RawRecords!G80</x:f>
        <x:v>N/A (Bypassed)</x:v>
      </x:c>
      <x:c r="F56" s="10" t="str">
        <x:f>RawRecords!H80</x:f>
        <x:v>N/A (Bypassed)</x:v>
      </x:c>
      <x:c r="G56" s="10" t="str">
        <x:f>RawRecords!I80</x:f>
        <x:v>N/A (Bypassed)</x:v>
      </x:c>
      <x:c r="H56" s="10" t="str">
        <x:f>RawRecords!J80</x:f>
        <x:v>N/A (Bypassed)</x:v>
      </x:c>
      <x:c r="I56" s="10" t="str">
        <x:f>RawRecords!K80</x:f>
        <x:v>N/A</x:v>
      </x:c>
      <x:c r="J56" s="10" t="n">
        <x:f>RawRecords!L80</x:f>
        <x:v>12.7967</x:v>
      </x:c>
      <x:c r="K56" s="10" t="n">
        <x:f>RawRecords!M80</x:f>
        <x:v>2.5718</x:v>
      </x:c>
      <x:c r="L56" s="1" t="n">
        <x:v>75</x:v>
      </x:c>
      <x:c r="M56" s="1" t="n">
        <x:v>80</x:v>
      </x:c>
    </x:row>
    <x:row r="57" ht="23" customHeight="1">
      <x:c r="A57" s="1" t="n">
        <x:v>1</x:v>
      </x:c>
      <x:c r="B57" s="1" t="str">
        <x:v>Fast</x:v>
      </x:c>
      <x:c r="C57" s="9" t="n">
        <x:f>RawRecords!A81</x:f>
        <x:v>46246.481094780094</x:v>
      </x:c>
      <x:c r="D57" s="10" t="n">
        <x:f>RawRecords!F81</x:f>
        <x:v>13.0152</x:v>
      </x:c>
      <x:c r="E57" s="10" t="str">
        <x:f>RawRecords!G81</x:f>
        <x:v>N/A (Bypassed)</x:v>
      </x:c>
      <x:c r="F57" s="10" t="str">
        <x:f>RawRecords!H81</x:f>
        <x:v>N/A (Bypassed)</x:v>
      </x:c>
      <x:c r="G57" s="10" t="str">
        <x:f>RawRecords!I81</x:f>
        <x:v>N/A (Bypassed)</x:v>
      </x:c>
      <x:c r="H57" s="10" t="str">
        <x:f>RawRecords!J81</x:f>
        <x:v>N/A (Bypassed)</x:v>
      </x:c>
      <x:c r="I57" s="10" t="str">
        <x:f>RawRecords!K81</x:f>
        <x:v>N/A</x:v>
      </x:c>
      <x:c r="J57" s="10" t="n">
        <x:f>RawRecords!L81</x:f>
        <x:v>13.0152</x:v>
      </x:c>
      <x:c r="K57" s="10" t="n">
        <x:f>RawRecords!M81</x:f>
        <x:v>4.7431</x:v>
      </x:c>
      <x:c r="L57" s="1" t="n">
        <x:v>76</x:v>
      </x:c>
      <x:c r="M57" s="1" t="n">
        <x:v>81</x:v>
      </x:c>
    </x:row>
    <x:row r="58" ht="23" customHeight="1">
      <x:c r="A58" s="1" t="n">
        <x:v>1</x:v>
      </x:c>
      <x:c r="B58" s="1" t="str">
        <x:v>Fast</x:v>
      </x:c>
      <x:c r="C58" s="9" t="n">
        <x:f>RawRecords!A82</x:f>
        <x:v>46246.481064189815</x:v>
      </x:c>
      <x:c r="D58" s="10" t="n">
        <x:f>RawRecords!F82</x:f>
        <x:v>12.7207</x:v>
      </x:c>
      <x:c r="E58" s="10" t="str">
        <x:f>RawRecords!G82</x:f>
        <x:v>N/A (Bypassed)</x:v>
      </x:c>
      <x:c r="F58" s="10" t="str">
        <x:f>RawRecords!H82</x:f>
        <x:v>N/A (Bypassed)</x:v>
      </x:c>
      <x:c r="G58" s="10" t="str">
        <x:f>RawRecords!I82</x:f>
        <x:v>N/A (Bypassed)</x:v>
      </x:c>
      <x:c r="H58" s="10" t="str">
        <x:f>RawRecords!J82</x:f>
        <x:v>N/A (Bypassed)</x:v>
      </x:c>
      <x:c r="I58" s="10" t="str">
        <x:f>RawRecords!K82</x:f>
        <x:v>N/A</x:v>
      </x:c>
      <x:c r="J58" s="10" t="n">
        <x:f>RawRecords!L82</x:f>
        <x:v>12.7207</x:v>
      </x:c>
      <x:c r="K58" s="10" t="n">
        <x:f>RawRecords!M82</x:f>
        <x:v>3.0919</x:v>
      </x:c>
      <x:c r="L58" s="1" t="n">
        <x:v>77</x:v>
      </x:c>
      <x:c r="M58" s="1" t="n">
        <x:v>82</x:v>
      </x:c>
    </x:row>
    <x:row r="59" ht="23" customHeight="1">
      <x:c r="A59" s="1" t="n">
        <x:v>1</x:v>
      </x:c>
      <x:c r="B59" s="1" t="str">
        <x:v>Fast</x:v>
      </x:c>
      <x:c r="C59" s="9" t="n">
        <x:f>RawRecords!A83</x:f>
        <x:v>46246.48102331019</x:v>
      </x:c>
      <x:c r="D59" s="10" t="n">
        <x:f>RawRecords!F83</x:f>
        <x:v>11.8968</x:v>
      </x:c>
      <x:c r="E59" s="10" t="str">
        <x:f>RawRecords!G83</x:f>
        <x:v>N/A (Bypassed)</x:v>
      </x:c>
      <x:c r="F59" s="10" t="str">
        <x:f>RawRecords!H83</x:f>
        <x:v>N/A (Bypassed)</x:v>
      </x:c>
      <x:c r="G59" s="10" t="str">
        <x:f>RawRecords!I83</x:f>
        <x:v>N/A (Bypassed)</x:v>
      </x:c>
      <x:c r="H59" s="10" t="str">
        <x:f>RawRecords!J83</x:f>
        <x:v>N/A (Bypassed)</x:v>
      </x:c>
      <x:c r="I59" s="10" t="str">
        <x:f>RawRecords!K83</x:f>
        <x:v>N/A</x:v>
      </x:c>
      <x:c r="J59" s="10" t="n">
        <x:f>RawRecords!L83</x:f>
        <x:v>11.8968</x:v>
      </x:c>
      <x:c r="K59" s="10" t="n">
        <x:f>RawRecords!M83</x:f>
        <x:v>2.7826</x:v>
      </x:c>
      <x:c r="L59" s="1" t="n">
        <x:v>78</x:v>
      </x:c>
      <x:c r="M59" s="1" t="n">
        <x:v>83</x:v>
      </x:c>
    </x:row>
    <x:row r="60" ht="23" customHeight="1">
      <x:c r="A60" s="1" t="n">
        <x:v>1</x:v>
      </x:c>
      <x:c r="B60" s="1" t="str">
        <x:v>Fast</x:v>
      </x:c>
      <x:c r="C60" s="9" t="n">
        <x:f>RawRecords!A84</x:f>
        <x:v>46246.48098787037</x:v>
      </x:c>
      <x:c r="D60" s="10" t="n">
        <x:f>RawRecords!F84</x:f>
        <x:v>10.2547</x:v>
      </x:c>
      <x:c r="E60" s="10" t="str">
        <x:f>RawRecords!G84</x:f>
        <x:v>N/A (Bypassed)</x:v>
      </x:c>
      <x:c r="F60" s="10" t="str">
        <x:f>RawRecords!H84</x:f>
        <x:v>N/A (Bypassed)</x:v>
      </x:c>
      <x:c r="G60" s="10" t="str">
        <x:f>RawRecords!I84</x:f>
        <x:v>N/A (Bypassed)</x:v>
      </x:c>
      <x:c r="H60" s="10" t="str">
        <x:f>RawRecords!J84</x:f>
        <x:v>N/A (Bypassed)</x:v>
      </x:c>
      <x:c r="I60" s="10" t="str">
        <x:f>RawRecords!K84</x:f>
        <x:v>N/A</x:v>
      </x:c>
      <x:c r="J60" s="10" t="n">
        <x:f>RawRecords!L84</x:f>
        <x:v>10.2547</x:v>
      </x:c>
      <x:c r="K60" s="10" t="n">
        <x:f>RawRecords!M84</x:f>
        <x:v>2.7963</x:v>
      </x:c>
      <x:c r="L60" s="1" t="n">
        <x:v>79</x:v>
      </x:c>
      <x:c r="M60" s="1" t="n">
        <x:v>84</x:v>
      </x:c>
    </x:row>
    <x:row r="61" ht="23" customHeight="1">
      <x:c r="A61" s="1" t="n">
        <x:v>1</x:v>
      </x:c>
      <x:c r="B61" s="1" t="str">
        <x:v>Fast</x:v>
      </x:c>
      <x:c r="C61" s="9" t="n">
        <x:f>RawRecords!A85</x:f>
        <x:v>46246.48095488426</x:v>
      </x:c>
      <x:c r="D61" s="10" t="n">
        <x:f>RawRecords!F85</x:f>
        <x:v>12.5342</x:v>
      </x:c>
      <x:c r="E61" s="10" t="str">
        <x:f>RawRecords!G85</x:f>
        <x:v>N/A (Bypassed)</x:v>
      </x:c>
      <x:c r="F61" s="10" t="str">
        <x:f>RawRecords!H85</x:f>
        <x:v>N/A (Bypassed)</x:v>
      </x:c>
      <x:c r="G61" s="10" t="str">
        <x:f>RawRecords!I85</x:f>
        <x:v>N/A (Bypassed)</x:v>
      </x:c>
      <x:c r="H61" s="10" t="str">
        <x:f>RawRecords!J85</x:f>
        <x:v>N/A (Bypassed)</x:v>
      </x:c>
      <x:c r="I61" s="10" t="str">
        <x:f>RawRecords!K85</x:f>
        <x:v>N/A</x:v>
      </x:c>
      <x:c r="J61" s="10" t="n">
        <x:f>RawRecords!L85</x:f>
        <x:v>12.5342</x:v>
      </x:c>
      <x:c r="K61" s="10" t="n">
        <x:f>RawRecords!M85</x:f>
        <x:v>4.6818</x:v>
      </x:c>
      <x:c r="L61" s="1" t="n">
        <x:v>80</x:v>
      </x:c>
      <x:c r="M61" s="1" t="n">
        <x:v>85</x:v>
      </x:c>
    </x:row>
    <x:row r="62" ht="23" customHeight="1">
      <x:c r="A62" s="1" t="n">
        <x:v>1</x:v>
      </x:c>
      <x:c r="B62" s="1" t="str">
        <x:v>Fast</x:v>
      </x:c>
      <x:c r="C62" s="9" t="n">
        <x:f>RawRecords!A86</x:f>
        <x:v>46246.48092163194</x:v>
      </x:c>
      <x:c r="D62" s="10" t="n">
        <x:f>RawRecords!F86</x:f>
        <x:v>26.3563</x:v>
      </x:c>
      <x:c r="E62" s="10" t="str">
        <x:f>RawRecords!G86</x:f>
        <x:v>N/A (Bypassed)</x:v>
      </x:c>
      <x:c r="F62" s="10" t="str">
        <x:f>RawRecords!H86</x:f>
        <x:v>N/A (Bypassed)</x:v>
      </x:c>
      <x:c r="G62" s="10" t="str">
        <x:f>RawRecords!I86</x:f>
        <x:v>N/A (Bypassed)</x:v>
      </x:c>
      <x:c r="H62" s="10" t="str">
        <x:f>RawRecords!J86</x:f>
        <x:v>N/A (Bypassed)</x:v>
      </x:c>
      <x:c r="I62" s="10" t="str">
        <x:f>RawRecords!K86</x:f>
        <x:v>N/A</x:v>
      </x:c>
      <x:c r="J62" s="10" t="n">
        <x:f>RawRecords!L86</x:f>
        <x:v>26.3563</x:v>
      </x:c>
      <x:c r="K62" s="10" t="n">
        <x:f>RawRecords!M86</x:f>
        <x:v>2.4521</x:v>
      </x:c>
      <x:c r="L62" s="1" t="n">
        <x:v>81</x:v>
      </x:c>
      <x:c r="M62" s="1" t="n">
        <x:v>86</x:v>
      </x:c>
    </x:row>
    <x:row r="63" ht="23" customHeight="1">
      <x:c r="A63" s="1" t="n">
        <x:v>2</x:v>
      </x:c>
      <x:c r="B63" s="1" t="str">
        <x:v>Fast</x:v>
      </x:c>
      <x:c r="C63" s="9" t="n">
        <x:f>RawRecords!A266</x:f>
        <x:v>46247.442032754625</x:v>
      </x:c>
      <x:c r="D63" s="10" t="n">
        <x:f>RawRecords!F266</x:f>
        <x:v>12.0638</x:v>
      </x:c>
      <x:c r="E63" s="10" t="str">
        <x:f>RawRecords!G266</x:f>
        <x:v>N/A (Bypassed)</x:v>
      </x:c>
      <x:c r="F63" s="10" t="str">
        <x:f>RawRecords!H266</x:f>
        <x:v>N/A (Bypassed)</x:v>
      </x:c>
      <x:c r="G63" s="10" t="str">
        <x:f>RawRecords!I266</x:f>
        <x:v>N/A (Bypassed)</x:v>
      </x:c>
      <x:c r="H63" s="10" t="str">
        <x:f>RawRecords!J266</x:f>
        <x:v>N/A (Bypassed)</x:v>
      </x:c>
      <x:c r="I63" s="10" t="str">
        <x:f>RawRecords!K266</x:f>
        <x:v>N/A</x:v>
      </x:c>
      <x:c r="J63" s="10" t="n">
        <x:f>RawRecords!L266</x:f>
        <x:v>12.0638</x:v>
      </x:c>
      <x:c r="K63" s="10" t="n">
        <x:f>RawRecords!M266</x:f>
        <x:v>2.8201</x:v>
      </x:c>
      <x:c r="L63" s="1" t="n">
        <x:v>12</x:v>
      </x:c>
      <x:c r="M63" s="1" t="n">
        <x:v>266</x:v>
      </x:c>
    </x:row>
    <x:row r="64" ht="23" customHeight="1">
      <x:c r="A64" s="1" t="n">
        <x:v>2</x:v>
      </x:c>
      <x:c r="B64" s="1" t="str">
        <x:v>Fast</x:v>
      </x:c>
      <x:c r="C64" s="9" t="n">
        <x:f>RawRecords!A267</x:f>
        <x:v>46247.442009907405</x:v>
      </x:c>
      <x:c r="D64" s="10" t="n">
        <x:f>RawRecords!F267</x:f>
        <x:v>11.5052</x:v>
      </x:c>
      <x:c r="E64" s="10" t="str">
        <x:f>RawRecords!G267</x:f>
        <x:v>N/A (Bypassed)</x:v>
      </x:c>
      <x:c r="F64" s="10" t="str">
        <x:f>RawRecords!H267</x:f>
        <x:v>N/A (Bypassed)</x:v>
      </x:c>
      <x:c r="G64" s="10" t="str">
        <x:f>RawRecords!I267</x:f>
        <x:v>N/A (Bypassed)</x:v>
      </x:c>
      <x:c r="H64" s="10" t="str">
        <x:f>RawRecords!J267</x:f>
        <x:v>N/A (Bypassed)</x:v>
      </x:c>
      <x:c r="I64" s="10" t="str">
        <x:f>RawRecords!K267</x:f>
        <x:v>N/A</x:v>
      </x:c>
      <x:c r="J64" s="10" t="n">
        <x:f>RawRecords!L267</x:f>
        <x:v>11.5052</x:v>
      </x:c>
      <x:c r="K64" s="10" t="n">
        <x:f>RawRecords!M267</x:f>
        <x:v>2.8627</x:v>
      </x:c>
      <x:c r="L64" s="1" t="n">
        <x:v>13</x:v>
      </x:c>
      <x:c r="M64" s="1" t="n">
        <x:v>267</x:v>
      </x:c>
    </x:row>
    <x:row r="65" ht="23" customHeight="1">
      <x:c r="A65" s="1" t="n">
        <x:v>2</x:v>
      </x:c>
      <x:c r="B65" s="1" t="str">
        <x:v>Fast</x:v>
      </x:c>
      <x:c r="C65" s="9" t="n">
        <x:f>RawRecords!A268</x:f>
        <x:v>46247.44198822917</x:v>
      </x:c>
      <x:c r="D65" s="10" t="n">
        <x:f>RawRecords!F268</x:f>
        <x:v>10.2955</x:v>
      </x:c>
      <x:c r="E65" s="10" t="str">
        <x:f>RawRecords!G268</x:f>
        <x:v>N/A (Bypassed)</x:v>
      </x:c>
      <x:c r="F65" s="10" t="str">
        <x:f>RawRecords!H268</x:f>
        <x:v>N/A (Bypassed)</x:v>
      </x:c>
      <x:c r="G65" s="10" t="str">
        <x:f>RawRecords!I268</x:f>
        <x:v>N/A (Bypassed)</x:v>
      </x:c>
      <x:c r="H65" s="10" t="str">
        <x:f>RawRecords!J268</x:f>
        <x:v>N/A (Bypassed)</x:v>
      </x:c>
      <x:c r="I65" s="10" t="str">
        <x:f>RawRecords!K268</x:f>
        <x:v>N/A</x:v>
      </x:c>
      <x:c r="J65" s="10" t="n">
        <x:f>RawRecords!L268</x:f>
        <x:v>10.2955</x:v>
      </x:c>
      <x:c r="K65" s="10" t="n">
        <x:f>RawRecords!M268</x:f>
        <x:v>2.6847</x:v>
      </x:c>
      <x:c r="L65" s="1" t="n">
        <x:v>14</x:v>
      </x:c>
      <x:c r="M65" s="1" t="n">
        <x:v>268</x:v>
      </x:c>
    </x:row>
    <x:row r="66" ht="23" customHeight="1">
      <x:c r="A66" s="1" t="n">
        <x:v>2</x:v>
      </x:c>
      <x:c r="B66" s="1" t="str">
        <x:v>Fast</x:v>
      </x:c>
      <x:c r="C66" s="9" t="n">
        <x:f>RawRecords!A269</x:f>
        <x:v>46247.44195689815</x:v>
      </x:c>
      <x:c r="D66" s="10" t="n">
        <x:f>RawRecords!F269</x:f>
        <x:v>10.2506</x:v>
      </x:c>
      <x:c r="E66" s="10" t="str">
        <x:f>RawRecords!G269</x:f>
        <x:v>N/A (Bypassed)</x:v>
      </x:c>
      <x:c r="F66" s="10" t="str">
        <x:f>RawRecords!H269</x:f>
        <x:v>N/A (Bypassed)</x:v>
      </x:c>
      <x:c r="G66" s="10" t="str">
        <x:f>RawRecords!I269</x:f>
        <x:v>N/A (Bypassed)</x:v>
      </x:c>
      <x:c r="H66" s="10" t="str">
        <x:f>RawRecords!J269</x:f>
        <x:v>N/A (Bypassed)</x:v>
      </x:c>
      <x:c r="I66" s="10" t="str">
        <x:f>RawRecords!K269</x:f>
        <x:v>N/A</x:v>
      </x:c>
      <x:c r="J66" s="10" t="n">
        <x:f>RawRecords!L269</x:f>
        <x:v>10.2506</x:v>
      </x:c>
      <x:c r="K66" s="10" t="n">
        <x:f>RawRecords!M269</x:f>
        <x:v>2.5594</x:v>
      </x:c>
      <x:c r="L66" s="1" t="n">
        <x:v>15</x:v>
      </x:c>
      <x:c r="M66" s="1" t="n">
        <x:v>269</x:v>
      </x:c>
    </x:row>
    <x:row r="67" ht="23" customHeight="1">
      <x:c r="A67" s="1" t="n">
        <x:v>2</x:v>
      </x:c>
      <x:c r="B67" s="1" t="str">
        <x:v>Fast</x:v>
      </x:c>
      <x:c r="C67" s="9" t="n">
        <x:f>RawRecords!A270</x:f>
        <x:v>46247.44193576388</x:v>
      </x:c>
      <x:c r="D67" s="10" t="n">
        <x:f>RawRecords!F270</x:f>
        <x:v>11.6352</x:v>
      </x:c>
      <x:c r="E67" s="10" t="str">
        <x:f>RawRecords!G270</x:f>
        <x:v>N/A (Bypassed)</x:v>
      </x:c>
      <x:c r="F67" s="10" t="str">
        <x:f>RawRecords!H270</x:f>
        <x:v>N/A (Bypassed)</x:v>
      </x:c>
      <x:c r="G67" s="10" t="str">
        <x:f>RawRecords!I270</x:f>
        <x:v>N/A (Bypassed)</x:v>
      </x:c>
      <x:c r="H67" s="10" t="str">
        <x:f>RawRecords!J270</x:f>
        <x:v>N/A (Bypassed)</x:v>
      </x:c>
      <x:c r="I67" s="10" t="str">
        <x:f>RawRecords!K270</x:f>
        <x:v>N/A</x:v>
      </x:c>
      <x:c r="J67" s="10" t="n">
        <x:f>RawRecords!L270</x:f>
        <x:v>11.6352</x:v>
      </x:c>
      <x:c r="K67" s="10" t="n">
        <x:f>RawRecords!M270</x:f>
        <x:v>4.8024</x:v>
      </x:c>
      <x:c r="L67" s="1" t="n">
        <x:v>16</x:v>
      </x:c>
      <x:c r="M67" s="1" t="n">
        <x:v>270</x:v>
      </x:c>
    </x:row>
    <x:row r="68" ht="23" customHeight="1">
      <x:c r="A68" s="1" t="n">
        <x:v>2</x:v>
      </x:c>
      <x:c r="B68" s="1" t="str">
        <x:v>Fast</x:v>
      </x:c>
      <x:c r="C68" s="9" t="n">
        <x:f>RawRecords!A271</x:f>
        <x:v>46247.44191496528</x:v>
      </x:c>
      <x:c r="D68" s="10" t="n">
        <x:f>RawRecords!F271</x:f>
        <x:v>11.5315</x:v>
      </x:c>
      <x:c r="E68" s="10" t="str">
        <x:f>RawRecords!G271</x:f>
        <x:v>N/A (Bypassed)</x:v>
      </x:c>
      <x:c r="F68" s="10" t="str">
        <x:f>RawRecords!H271</x:f>
        <x:v>N/A (Bypassed)</x:v>
      </x:c>
      <x:c r="G68" s="10" t="str">
        <x:f>RawRecords!I271</x:f>
        <x:v>N/A (Bypassed)</x:v>
      </x:c>
      <x:c r="H68" s="10" t="str">
        <x:f>RawRecords!J271</x:f>
        <x:v>N/A (Bypassed)</x:v>
      </x:c>
      <x:c r="I68" s="10" t="str">
        <x:f>RawRecords!K271</x:f>
        <x:v>N/A</x:v>
      </x:c>
      <x:c r="J68" s="10" t="n">
        <x:f>RawRecords!L271</x:f>
        <x:v>11.5315</x:v>
      </x:c>
      <x:c r="K68" s="10" t="n">
        <x:f>RawRecords!M271</x:f>
        <x:v>2.6306</x:v>
      </x:c>
      <x:c r="L68" s="1" t="n">
        <x:v>17</x:v>
      </x:c>
      <x:c r="M68" s="1" t="n">
        <x:v>271</x:v>
      </x:c>
    </x:row>
    <x:row r="69" ht="23" customHeight="1">
      <x:c r="A69" s="1" t="n">
        <x:v>2</x:v>
      </x:c>
      <x:c r="B69" s="1" t="str">
        <x:v>Fast</x:v>
      </x:c>
      <x:c r="C69" s="9" t="n">
        <x:f>RawRecords!A272</x:f>
        <x:v>46247.44189255787</x:v>
      </x:c>
      <x:c r="D69" s="10" t="n">
        <x:f>RawRecords!F272</x:f>
        <x:v>11.8961</x:v>
      </x:c>
      <x:c r="E69" s="10" t="str">
        <x:f>RawRecords!G272</x:f>
        <x:v>N/A (Bypassed)</x:v>
      </x:c>
      <x:c r="F69" s="10" t="str">
        <x:f>RawRecords!H272</x:f>
        <x:v>N/A (Bypassed)</x:v>
      </x:c>
      <x:c r="G69" s="10" t="str">
        <x:f>RawRecords!I272</x:f>
        <x:v>N/A (Bypassed)</x:v>
      </x:c>
      <x:c r="H69" s="10" t="str">
        <x:f>RawRecords!J272</x:f>
        <x:v>N/A (Bypassed)</x:v>
      </x:c>
      <x:c r="I69" s="10" t="str">
        <x:f>RawRecords!K272</x:f>
        <x:v>N/A</x:v>
      </x:c>
      <x:c r="J69" s="10" t="n">
        <x:f>RawRecords!L272</x:f>
        <x:v>11.8961</x:v>
      </x:c>
      <x:c r="K69" s="10" t="n">
        <x:f>RawRecords!M272</x:f>
        <x:v>2.9641</x:v>
      </x:c>
      <x:c r="L69" s="1" t="n">
        <x:v>18</x:v>
      </x:c>
      <x:c r="M69" s="1" t="n">
        <x:v>272</x:v>
      </x:c>
    </x:row>
    <x:row r="70" ht="23" customHeight="1">
      <x:c r="A70" s="1" t="n">
        <x:v>2</x:v>
      </x:c>
      <x:c r="B70" s="1" t="str">
        <x:v>Fast</x:v>
      </x:c>
      <x:c r="C70" s="9" t="n">
        <x:f>RawRecords!A273</x:f>
        <x:v>46247.441870462964</x:v>
      </x:c>
      <x:c r="D70" s="10" t="n">
        <x:f>RawRecords!F273</x:f>
        <x:v>11.6101</x:v>
      </x:c>
      <x:c r="E70" s="10" t="str">
        <x:f>RawRecords!G273</x:f>
        <x:v>N/A (Bypassed)</x:v>
      </x:c>
      <x:c r="F70" s="10" t="str">
        <x:f>RawRecords!H273</x:f>
        <x:v>N/A (Bypassed)</x:v>
      </x:c>
      <x:c r="G70" s="10" t="str">
        <x:f>RawRecords!I273</x:f>
        <x:v>N/A (Bypassed)</x:v>
      </x:c>
      <x:c r="H70" s="10" t="str">
        <x:f>RawRecords!J273</x:f>
        <x:v>N/A (Bypassed)</x:v>
      </x:c>
      <x:c r="I70" s="10" t="str">
        <x:f>RawRecords!K273</x:f>
        <x:v>N/A</x:v>
      </x:c>
      <x:c r="J70" s="10" t="n">
        <x:f>RawRecords!L273</x:f>
        <x:v>11.6101</x:v>
      </x:c>
      <x:c r="K70" s="10" t="n">
        <x:f>RawRecords!M273</x:f>
        <x:v>4.1975</x:v>
      </x:c>
      <x:c r="L70" s="1" t="n">
        <x:v>19</x:v>
      </x:c>
      <x:c r="M70" s="1" t="n">
        <x:v>273</x:v>
      </x:c>
    </x:row>
    <x:row r="71" ht="23" customHeight="1">
      <x:c r="A71" s="1" t="n">
        <x:v>2</x:v>
      </x:c>
      <x:c r="B71" s="1" t="str">
        <x:v>Fast</x:v>
      </x:c>
      <x:c r="C71" s="9" t="n">
        <x:f>RawRecords!A274</x:f>
        <x:v>46247.44184833333</x:v>
      </x:c>
      <x:c r="D71" s="10" t="n">
        <x:f>RawRecords!F274</x:f>
        <x:v>15.0453</x:v>
      </x:c>
      <x:c r="E71" s="10" t="str">
        <x:f>RawRecords!G274</x:f>
        <x:v>N/A (Bypassed)</x:v>
      </x:c>
      <x:c r="F71" s="10" t="str">
        <x:f>RawRecords!H274</x:f>
        <x:v>N/A (Bypassed)</x:v>
      </x:c>
      <x:c r="G71" s="10" t="str">
        <x:f>RawRecords!I274</x:f>
        <x:v>N/A (Bypassed)</x:v>
      </x:c>
      <x:c r="H71" s="10" t="str">
        <x:f>RawRecords!J274</x:f>
        <x:v>N/A (Bypassed)</x:v>
      </x:c>
      <x:c r="I71" s="10" t="str">
        <x:f>RawRecords!K274</x:f>
        <x:v>N/A</x:v>
      </x:c>
      <x:c r="J71" s="10" t="n">
        <x:f>RawRecords!L274</x:f>
        <x:v>15.0453</x:v>
      </x:c>
      <x:c r="K71" s="10" t="n">
        <x:f>RawRecords!M274</x:f>
        <x:v>4.1816</x:v>
      </x:c>
      <x:c r="L71" s="1" t="n">
        <x:v>20</x:v>
      </x:c>
      <x:c r="M71" s="1" t="n">
        <x:v>274</x:v>
      </x:c>
    </x:row>
    <x:row r="72" ht="23" customHeight="1">
      <x:c r="A72" s="1" t="n">
        <x:v>2</x:v>
      </x:c>
      <x:c r="B72" s="1" t="str">
        <x:v>Fast</x:v>
      </x:c>
      <x:c r="C72" s="9" t="n">
        <x:f>RawRecords!A275</x:f>
        <x:v>46247.44182554398</x:v>
      </x:c>
      <x:c r="D72" s="10" t="n">
        <x:f>RawRecords!F275</x:f>
        <x:v>9.1748</x:v>
      </x:c>
      <x:c r="E72" s="10" t="str">
        <x:f>RawRecords!G275</x:f>
        <x:v>N/A (Bypassed)</x:v>
      </x:c>
      <x:c r="F72" s="10" t="str">
        <x:f>RawRecords!H275</x:f>
        <x:v>N/A (Bypassed)</x:v>
      </x:c>
      <x:c r="G72" s="10" t="str">
        <x:f>RawRecords!I275</x:f>
        <x:v>N/A (Bypassed)</x:v>
      </x:c>
      <x:c r="H72" s="10" t="str">
        <x:f>RawRecords!J275</x:f>
        <x:v>N/A (Bypassed)</x:v>
      </x:c>
      <x:c r="I72" s="10" t="str">
        <x:f>RawRecords!K275</x:f>
        <x:v>N/A</x:v>
      </x:c>
      <x:c r="J72" s="10" t="n">
        <x:f>RawRecords!L275</x:f>
        <x:v>9.1748</x:v>
      </x:c>
      <x:c r="K72" s="10" t="n">
        <x:f>RawRecords!M275</x:f>
        <x:v>0.6404</x:v>
      </x:c>
      <x:c r="L72" s="1" t="n">
        <x:v>21</x:v>
      </x:c>
      <x:c r="M72" s="1" t="n">
        <x:v>275</x:v>
      </x:c>
    </x:row>
    <x:row r="73" ht="23" customHeight="1">
      <x:c r="A73" s="1" t="n">
        <x:v>2</x:v>
      </x:c>
      <x:c r="B73" s="1" t="str">
        <x:v>Fast</x:v>
      </x:c>
      <x:c r="C73" s="9" t="n">
        <x:f>RawRecords!A296</x:f>
        <x:v>46247.44105116898</x:v>
      </x:c>
      <x:c r="D73" s="10" t="n">
        <x:f>RawRecords!F296</x:f>
        <x:v>10.9479</x:v>
      </x:c>
      <x:c r="E73" s="10" t="str">
        <x:f>RawRecords!G296</x:f>
        <x:v>N/A (Bypassed)</x:v>
      </x:c>
      <x:c r="F73" s="10" t="str">
        <x:f>RawRecords!H296</x:f>
        <x:v>N/A (Bypassed)</x:v>
      </x:c>
      <x:c r="G73" s="10" t="str">
        <x:f>RawRecords!I296</x:f>
        <x:v>N/A (Bypassed)</x:v>
      </x:c>
      <x:c r="H73" s="10" t="str">
        <x:f>RawRecords!J296</x:f>
        <x:v>N/A (Bypassed)</x:v>
      </x:c>
      <x:c r="I73" s="10" t="str">
        <x:f>RawRecords!K296</x:f>
        <x:v>N/A</x:v>
      </x:c>
      <x:c r="J73" s="10" t="n">
        <x:f>RawRecords!L296</x:f>
        <x:v>10.9479</x:v>
      </x:c>
      <x:c r="K73" s="10" t="n">
        <x:f>RawRecords!M296</x:f>
        <x:v>3.8527</x:v>
      </x:c>
      <x:c r="L73" s="1" t="n">
        <x:v>42</x:v>
      </x:c>
      <x:c r="M73" s="1" t="n">
        <x:v>296</x:v>
      </x:c>
    </x:row>
    <x:row r="74" ht="23" customHeight="1">
      <x:c r="A74" s="1" t="n">
        <x:v>2</x:v>
      </x:c>
      <x:c r="B74" s="1" t="str">
        <x:v>Fast</x:v>
      </x:c>
      <x:c r="C74" s="9" t="n">
        <x:f>RawRecords!A297</x:f>
        <x:v>46247.441027187495</x:v>
      </x:c>
      <x:c r="D74" s="10" t="n">
        <x:f>RawRecords!F297</x:f>
        <x:v>10.9615</x:v>
      </x:c>
      <x:c r="E74" s="10" t="str">
        <x:f>RawRecords!G297</x:f>
        <x:v>N/A (Bypassed)</x:v>
      </x:c>
      <x:c r="F74" s="10" t="str">
        <x:f>RawRecords!H297</x:f>
        <x:v>N/A (Bypassed)</x:v>
      </x:c>
      <x:c r="G74" s="10" t="str">
        <x:f>RawRecords!I297</x:f>
        <x:v>N/A (Bypassed)</x:v>
      </x:c>
      <x:c r="H74" s="10" t="str">
        <x:f>RawRecords!J297</x:f>
        <x:v>N/A (Bypassed)</x:v>
      </x:c>
      <x:c r="I74" s="10" t="str">
        <x:f>RawRecords!K297</x:f>
        <x:v>N/A</x:v>
      </x:c>
      <x:c r="J74" s="10" t="n">
        <x:f>RawRecords!L297</x:f>
        <x:v>10.9615</x:v>
      </x:c>
      <x:c r="K74" s="10" t="n">
        <x:f>RawRecords!M297</x:f>
        <x:v>2.5711</x:v>
      </x:c>
      <x:c r="L74" s="1" t="n">
        <x:v>43</x:v>
      </x:c>
      <x:c r="M74" s="1" t="n">
        <x:v>297</x:v>
      </x:c>
    </x:row>
    <x:row r="75" ht="23" customHeight="1">
      <x:c r="A75" s="1" t="n">
        <x:v>2</x:v>
      </x:c>
      <x:c r="B75" s="1" t="str">
        <x:v>Fast</x:v>
      </x:c>
      <x:c r="C75" s="9" t="n">
        <x:f>RawRecords!A298</x:f>
        <x:v>46247.44100106481</x:v>
      </x:c>
      <x:c r="D75" s="10" t="n">
        <x:f>RawRecords!F298</x:f>
        <x:v>11.265</x:v>
      </x:c>
      <x:c r="E75" s="10" t="str">
        <x:f>RawRecords!G298</x:f>
        <x:v>N/A (Bypassed)</x:v>
      </x:c>
      <x:c r="F75" s="10" t="str">
        <x:f>RawRecords!H298</x:f>
        <x:v>N/A (Bypassed)</x:v>
      </x:c>
      <x:c r="G75" s="10" t="str">
        <x:f>RawRecords!I298</x:f>
        <x:v>N/A (Bypassed)</x:v>
      </x:c>
      <x:c r="H75" s="10" t="str">
        <x:f>RawRecords!J298</x:f>
        <x:v>N/A (Bypassed)</x:v>
      </x:c>
      <x:c r="I75" s="10" t="str">
        <x:f>RawRecords!K298</x:f>
        <x:v>N/A</x:v>
      </x:c>
      <x:c r="J75" s="10" t="n">
        <x:f>RawRecords!L298</x:f>
        <x:v>11.265</x:v>
      </x:c>
      <x:c r="K75" s="10" t="n">
        <x:f>RawRecords!M298</x:f>
        <x:v>3.6815</x:v>
      </x:c>
      <x:c r="L75" s="1" t="n">
        <x:v>44</x:v>
      </x:c>
      <x:c r="M75" s="1" t="n">
        <x:v>298</x:v>
      </x:c>
    </x:row>
    <x:row r="76" ht="23" customHeight="1">
      <x:c r="A76" s="1" t="n">
        <x:v>2</x:v>
      </x:c>
      <x:c r="B76" s="1" t="str">
        <x:v>Fast</x:v>
      </x:c>
      <x:c r="C76" s="9" t="n">
        <x:f>RawRecords!A299</x:f>
        <x:v>46247.440979293984</x:v>
      </x:c>
      <x:c r="D76" s="10" t="n">
        <x:f>RawRecords!F299</x:f>
        <x:v>11.0949</x:v>
      </x:c>
      <x:c r="E76" s="10" t="str">
        <x:f>RawRecords!G299</x:f>
        <x:v>N/A (Bypassed)</x:v>
      </x:c>
      <x:c r="F76" s="10" t="str">
        <x:f>RawRecords!H299</x:f>
        <x:v>N/A (Bypassed)</x:v>
      </x:c>
      <x:c r="G76" s="10" t="str">
        <x:f>RawRecords!I299</x:f>
        <x:v>N/A (Bypassed)</x:v>
      </x:c>
      <x:c r="H76" s="10" t="str">
        <x:f>RawRecords!J299</x:f>
        <x:v>N/A (Bypassed)</x:v>
      </x:c>
      <x:c r="I76" s="10" t="str">
        <x:f>RawRecords!K299</x:f>
        <x:v>N/A</x:v>
      </x:c>
      <x:c r="J76" s="10" t="n">
        <x:f>RawRecords!L299</x:f>
        <x:v>11.0949</x:v>
      </x:c>
      <x:c r="K76" s="10" t="n">
        <x:f>RawRecords!M299</x:f>
        <x:v>4.5392</x:v>
      </x:c>
      <x:c r="L76" s="1" t="n">
        <x:v>45</x:v>
      </x:c>
      <x:c r="M76" s="1" t="n">
        <x:v>299</x:v>
      </x:c>
    </x:row>
    <x:row r="77" ht="23" customHeight="1">
      <x:c r="A77" s="1" t="n">
        <x:v>2</x:v>
      </x:c>
      <x:c r="B77" s="1" t="str">
        <x:v>Fast</x:v>
      </x:c>
      <x:c r="C77" s="9" t="n">
        <x:f>RawRecords!A300</x:f>
        <x:v>46247.44095686343</x:v>
      </x:c>
      <x:c r="D77" s="10" t="n">
        <x:f>RawRecords!F300</x:f>
        <x:v>10.4551</x:v>
      </x:c>
      <x:c r="E77" s="10" t="str">
        <x:f>RawRecords!G300</x:f>
        <x:v>N/A (Bypassed)</x:v>
      </x:c>
      <x:c r="F77" s="10" t="str">
        <x:f>RawRecords!H300</x:f>
        <x:v>N/A (Bypassed)</x:v>
      </x:c>
      <x:c r="G77" s="10" t="str">
        <x:f>RawRecords!I300</x:f>
        <x:v>N/A (Bypassed)</x:v>
      </x:c>
      <x:c r="H77" s="10" t="str">
        <x:f>RawRecords!J300</x:f>
        <x:v>N/A (Bypassed)</x:v>
      </x:c>
      <x:c r="I77" s="10" t="str">
        <x:f>RawRecords!K300</x:f>
        <x:v>N/A</x:v>
      </x:c>
      <x:c r="J77" s="10" t="n">
        <x:f>RawRecords!L300</x:f>
        <x:v>10.4551</x:v>
      </x:c>
      <x:c r="K77" s="10" t="n">
        <x:f>RawRecords!M300</x:f>
        <x:v>2.7939</x:v>
      </x:c>
      <x:c r="L77" s="1" t="n">
        <x:v>46</x:v>
      </x:c>
      <x:c r="M77" s="1" t="n">
        <x:v>300</x:v>
      </x:c>
    </x:row>
    <x:row r="78" ht="23" customHeight="1">
      <x:c r="A78" s="1" t="n">
        <x:v>2</x:v>
      </x:c>
      <x:c r="B78" s="1" t="str">
        <x:v>Fast</x:v>
      </x:c>
      <x:c r="C78" s="9" t="n">
        <x:f>RawRecords!A301</x:f>
        <x:v>46247.44093329861</x:v>
      </x:c>
      <x:c r="D78" s="10" t="n">
        <x:f>RawRecords!F301</x:f>
        <x:v>11.594</x:v>
      </x:c>
      <x:c r="E78" s="10" t="str">
        <x:f>RawRecords!G301</x:f>
        <x:v>N/A (Bypassed)</x:v>
      </x:c>
      <x:c r="F78" s="10" t="str">
        <x:f>RawRecords!H301</x:f>
        <x:v>N/A (Bypassed)</x:v>
      </x:c>
      <x:c r="G78" s="10" t="str">
        <x:f>RawRecords!I301</x:f>
        <x:v>N/A (Bypassed)</x:v>
      </x:c>
      <x:c r="H78" s="10" t="str">
        <x:f>RawRecords!J301</x:f>
        <x:v>N/A (Bypassed)</x:v>
      </x:c>
      <x:c r="I78" s="10" t="str">
        <x:f>RawRecords!K301</x:f>
        <x:v>N/A</x:v>
      </x:c>
      <x:c r="J78" s="10" t="n">
        <x:f>RawRecords!L301</x:f>
        <x:v>11.594</x:v>
      </x:c>
      <x:c r="K78" s="10" t="n">
        <x:f>RawRecords!M301</x:f>
        <x:v>2.6174</x:v>
      </x:c>
      <x:c r="L78" s="1" t="n">
        <x:v>47</x:v>
      </x:c>
      <x:c r="M78" s="1" t="n">
        <x:v>301</x:v>
      </x:c>
    </x:row>
    <x:row r="79" ht="23" customHeight="1">
      <x:c r="A79" s="1" t="n">
        <x:v>2</x:v>
      </x:c>
      <x:c r="B79" s="1" t="str">
        <x:v>Fast</x:v>
      </x:c>
      <x:c r="C79" s="9" t="n">
        <x:f>RawRecords!A302</x:f>
        <x:v>46247.44090475695</x:v>
      </x:c>
      <x:c r="D79" s="10" t="n">
        <x:f>RawRecords!F302</x:f>
        <x:v>12.9388</x:v>
      </x:c>
      <x:c r="E79" s="10" t="str">
        <x:f>RawRecords!G302</x:f>
        <x:v>N/A (Bypassed)</x:v>
      </x:c>
      <x:c r="F79" s="10" t="str">
        <x:f>RawRecords!H302</x:f>
        <x:v>N/A (Bypassed)</x:v>
      </x:c>
      <x:c r="G79" s="10" t="str">
        <x:f>RawRecords!I302</x:f>
        <x:v>N/A (Bypassed)</x:v>
      </x:c>
      <x:c r="H79" s="10" t="str">
        <x:f>RawRecords!J302</x:f>
        <x:v>N/A (Bypassed)</x:v>
      </x:c>
      <x:c r="I79" s="10" t="str">
        <x:f>RawRecords!K302</x:f>
        <x:v>N/A</x:v>
      </x:c>
      <x:c r="J79" s="10" t="n">
        <x:f>RawRecords!L302</x:f>
        <x:v>12.9388</x:v>
      </x:c>
      <x:c r="K79" s="10" t="n">
        <x:f>RawRecords!M302</x:f>
        <x:v>2.6507</x:v>
      </x:c>
      <x:c r="L79" s="1" t="n">
        <x:v>48</x:v>
      </x:c>
      <x:c r="M79" s="1" t="n">
        <x:v>302</x:v>
      </x:c>
    </x:row>
    <x:row r="80" ht="23" customHeight="1">
      <x:c r="A80" s="1" t="n">
        <x:v>2</x:v>
      </x:c>
      <x:c r="B80" s="1" t="str">
        <x:v>Fast</x:v>
      </x:c>
      <x:c r="C80" s="9" t="n">
        <x:f>RawRecords!A303</x:f>
        <x:v>46247.44088241898</x:v>
      </x:c>
      <x:c r="D80" s="10" t="n">
        <x:f>RawRecords!F303</x:f>
        <x:v>9.5205</x:v>
      </x:c>
      <x:c r="E80" s="10" t="str">
        <x:f>RawRecords!G303</x:f>
        <x:v>N/A (Bypassed)</x:v>
      </x:c>
      <x:c r="F80" s="10" t="str">
        <x:f>RawRecords!H303</x:f>
        <x:v>N/A (Bypassed)</x:v>
      </x:c>
      <x:c r="G80" s="10" t="str">
        <x:f>RawRecords!I303</x:f>
        <x:v>N/A (Bypassed)</x:v>
      </x:c>
      <x:c r="H80" s="10" t="str">
        <x:f>RawRecords!J303</x:f>
        <x:v>N/A (Bypassed)</x:v>
      </x:c>
      <x:c r="I80" s="10" t="str">
        <x:f>RawRecords!K303</x:f>
        <x:v>N/A</x:v>
      </x:c>
      <x:c r="J80" s="10" t="n">
        <x:f>RawRecords!L303</x:f>
        <x:v>9.5205</x:v>
      </x:c>
      <x:c r="K80" s="10" t="n">
        <x:f>RawRecords!M303</x:f>
        <x:v>2.5915</x:v>
      </x:c>
      <x:c r="L80" s="1" t="n">
        <x:v>49</x:v>
      </x:c>
      <x:c r="M80" s="1" t="n">
        <x:v>303</x:v>
      </x:c>
    </x:row>
    <x:row r="81" ht="23" customHeight="1">
      <x:c r="A81" s="1" t="n">
        <x:v>2</x:v>
      </x:c>
      <x:c r="B81" s="1" t="str">
        <x:v>Fast</x:v>
      </x:c>
      <x:c r="C81" s="9" t="n">
        <x:f>RawRecords!A304</x:f>
        <x:v>46247.44086099537</x:v>
      </x:c>
      <x:c r="D81" s="10" t="n">
        <x:f>RawRecords!F304</x:f>
        <x:v>11.2613</x:v>
      </x:c>
      <x:c r="E81" s="10" t="str">
        <x:f>RawRecords!G304</x:f>
        <x:v>N/A (Bypassed)</x:v>
      </x:c>
      <x:c r="F81" s="10" t="str">
        <x:f>RawRecords!H304</x:f>
        <x:v>N/A (Bypassed)</x:v>
      </x:c>
      <x:c r="G81" s="10" t="str">
        <x:f>RawRecords!I304</x:f>
        <x:v>N/A (Bypassed)</x:v>
      </x:c>
      <x:c r="H81" s="10" t="str">
        <x:f>RawRecords!J304</x:f>
        <x:v>N/A (Bypassed)</x:v>
      </x:c>
      <x:c r="I81" s="10" t="str">
        <x:f>RawRecords!K304</x:f>
        <x:v>N/A</x:v>
      </x:c>
      <x:c r="J81" s="10" t="n">
        <x:f>RawRecords!L304</x:f>
        <x:v>11.2613</x:v>
      </x:c>
      <x:c r="K81" s="10" t="n">
        <x:f>RawRecords!M304</x:f>
        <x:v>2.4605</x:v>
      </x:c>
      <x:c r="L81" s="1" t="n">
        <x:v>50</x:v>
      </x:c>
      <x:c r="M81" s="1" t="n">
        <x:v>304</x:v>
      </x:c>
    </x:row>
    <x:row r="82" ht="23" customHeight="1">
      <x:c r="A82" s="1" t="n">
        <x:v>2</x:v>
      </x:c>
      <x:c r="B82" s="1" t="str">
        <x:v>Fast</x:v>
      </x:c>
      <x:c r="C82" s="9" t="n">
        <x:f>RawRecords!A305</x:f>
        <x:v>46247.44083665509</x:v>
      </x:c>
      <x:c r="D82" s="10" t="n">
        <x:f>RawRecords!F305</x:f>
        <x:v>10.5442</x:v>
      </x:c>
      <x:c r="E82" s="10" t="str">
        <x:f>RawRecords!G305</x:f>
        <x:v>N/A (Bypassed)</x:v>
      </x:c>
      <x:c r="F82" s="10" t="str">
        <x:f>RawRecords!H305</x:f>
        <x:v>N/A (Bypassed)</x:v>
      </x:c>
      <x:c r="G82" s="10" t="str">
        <x:f>RawRecords!I305</x:f>
        <x:v>N/A (Bypassed)</x:v>
      </x:c>
      <x:c r="H82" s="10" t="str">
        <x:f>RawRecords!J305</x:f>
        <x:v>N/A (Bypassed)</x:v>
      </x:c>
      <x:c r="I82" s="10" t="str">
        <x:f>RawRecords!K305</x:f>
        <x:v>N/A</x:v>
      </x:c>
      <x:c r="J82" s="10" t="n">
        <x:f>RawRecords!L305</x:f>
        <x:v>10.5442</x:v>
      </x:c>
      <x:c r="K82" s="10" t="n">
        <x:f>RawRecords!M305</x:f>
        <x:v>2.3857</x:v>
      </x:c>
      <x:c r="L82" s="1" t="n">
        <x:v>51</x:v>
      </x:c>
      <x:c r="M82" s="1" t="n">
        <x:v>305</x:v>
      </x:c>
    </x:row>
    <x:row r="83" ht="23" customHeight="1">
      <x:c r="A83" s="1" t="n">
        <x:v>2</x:v>
      </x:c>
      <x:c r="B83" s="1" t="str">
        <x:v>Fast</x:v>
      </x:c>
      <x:c r="C83" s="9" t="n">
        <x:f>RawRecords!A308</x:f>
        <x:v>46247.44070678241</x:v>
      </x:c>
      <x:c r="D83" s="10" t="n">
        <x:f>RawRecords!F308</x:f>
        <x:v>11.0407</x:v>
      </x:c>
      <x:c r="E83" s="10" t="str">
        <x:f>RawRecords!G308</x:f>
        <x:v>N/A (Bypassed)</x:v>
      </x:c>
      <x:c r="F83" s="10" t="str">
        <x:f>RawRecords!H308</x:f>
        <x:v>N/A (Bypassed)</x:v>
      </x:c>
      <x:c r="G83" s="10" t="str">
        <x:f>RawRecords!I308</x:f>
        <x:v>N/A (Bypassed)</x:v>
      </x:c>
      <x:c r="H83" s="10" t="str">
        <x:f>RawRecords!J308</x:f>
        <x:v>N/A (Bypassed)</x:v>
      </x:c>
      <x:c r="I83" s="10" t="str">
        <x:f>RawRecords!K308</x:f>
        <x:v>N/A</x:v>
      </x:c>
      <x:c r="J83" s="10" t="n">
        <x:f>RawRecords!L308</x:f>
        <x:v>11.0407</x:v>
      </x:c>
      <x:c r="K83" s="10" t="n">
        <x:f>RawRecords!M308</x:f>
        <x:v>2.7668</x:v>
      </x:c>
      <x:c r="L83" s="1" t="n">
        <x:v>54</x:v>
      </x:c>
      <x:c r="M83" s="1" t="n">
        <x:v>308</x:v>
      </x:c>
    </x:row>
    <x:row r="84" ht="23" customHeight="1">
      <x:c r="A84" s="1" t="n">
        <x:v>2</x:v>
      </x:c>
      <x:c r="B84" s="1" t="str">
        <x:v>Fast</x:v>
      </x:c>
      <x:c r="C84" s="9" t="n">
        <x:f>RawRecords!A309</x:f>
        <x:v>46247.440684988425</x:v>
      </x:c>
      <x:c r="D84" s="10" t="n">
        <x:f>RawRecords!F309</x:f>
        <x:v>10.3279</x:v>
      </x:c>
      <x:c r="E84" s="10" t="str">
        <x:f>RawRecords!G309</x:f>
        <x:v>N/A (Bypassed)</x:v>
      </x:c>
      <x:c r="F84" s="10" t="str">
        <x:f>RawRecords!H309</x:f>
        <x:v>N/A (Bypassed)</x:v>
      </x:c>
      <x:c r="G84" s="10" t="str">
        <x:f>RawRecords!I309</x:f>
        <x:v>N/A (Bypassed)</x:v>
      </x:c>
      <x:c r="H84" s="10" t="str">
        <x:f>RawRecords!J309</x:f>
        <x:v>N/A (Bypassed)</x:v>
      </x:c>
      <x:c r="I84" s="10" t="str">
        <x:f>RawRecords!K309</x:f>
        <x:v>N/A</x:v>
      </x:c>
      <x:c r="J84" s="10" t="n">
        <x:f>RawRecords!L309</x:f>
        <x:v>10.3279</x:v>
      </x:c>
      <x:c r="K84" s="10" t="n">
        <x:f>RawRecords!M309</x:f>
        <x:v>2.6746</x:v>
      </x:c>
      <x:c r="L84" s="1" t="n">
        <x:v>55</x:v>
      </x:c>
      <x:c r="M84" s="1" t="n">
        <x:v>309</x:v>
      </x:c>
    </x:row>
    <x:row r="85" ht="23" customHeight="1">
      <x:c r="A85" s="1" t="n">
        <x:v>2</x:v>
      </x:c>
      <x:c r="B85" s="1" t="str">
        <x:v>Fast</x:v>
      </x:c>
      <x:c r="C85" s="9" t="n">
        <x:f>RawRecords!A310</x:f>
        <x:v>46247.44066334491</x:v>
      </x:c>
      <x:c r="D85" s="10" t="n">
        <x:f>RawRecords!F310</x:f>
        <x:v>12.4927</x:v>
      </x:c>
      <x:c r="E85" s="10" t="str">
        <x:f>RawRecords!G310</x:f>
        <x:v>N/A (Bypassed)</x:v>
      </x:c>
      <x:c r="F85" s="10" t="str">
        <x:f>RawRecords!H310</x:f>
        <x:v>N/A (Bypassed)</x:v>
      </x:c>
      <x:c r="G85" s="10" t="str">
        <x:f>RawRecords!I310</x:f>
        <x:v>N/A (Bypassed)</x:v>
      </x:c>
      <x:c r="H85" s="10" t="str">
        <x:f>RawRecords!J310</x:f>
        <x:v>N/A (Bypassed)</x:v>
      </x:c>
      <x:c r="I85" s="10" t="str">
        <x:f>RawRecords!K310</x:f>
        <x:v>N/A</x:v>
      </x:c>
      <x:c r="J85" s="10" t="n">
        <x:f>RawRecords!L310</x:f>
        <x:v>12.4927</x:v>
      </x:c>
      <x:c r="K85" s="10" t="n">
        <x:f>RawRecords!M310</x:f>
        <x:v>3.0404</x:v>
      </x:c>
      <x:c r="L85" s="1" t="n">
        <x:v>56</x:v>
      </x:c>
      <x:c r="M85" s="1" t="n">
        <x:v>310</x:v>
      </x:c>
    </x:row>
    <x:row r="86" ht="23" customHeight="1">
      <x:c r="A86" s="1" t="n">
        <x:v>2</x:v>
      </x:c>
      <x:c r="B86" s="1" t="str">
        <x:v>Fast</x:v>
      </x:c>
      <x:c r="C86" s="9" t="n">
        <x:f>RawRecords!A311</x:f>
        <x:v>46247.44064260417</x:v>
      </x:c>
      <x:c r="D86" s="10" t="n">
        <x:f>RawRecords!F311</x:f>
        <x:v>16.8272</x:v>
      </x:c>
      <x:c r="E86" s="10" t="str">
        <x:f>RawRecords!G311</x:f>
        <x:v>N/A (Bypassed)</x:v>
      </x:c>
      <x:c r="F86" s="10" t="str">
        <x:f>RawRecords!H311</x:f>
        <x:v>N/A (Bypassed)</x:v>
      </x:c>
      <x:c r="G86" s="10" t="str">
        <x:f>RawRecords!I311</x:f>
        <x:v>N/A (Bypassed)</x:v>
      </x:c>
      <x:c r="H86" s="10" t="str">
        <x:f>RawRecords!J311</x:f>
        <x:v>N/A (Bypassed)</x:v>
      </x:c>
      <x:c r="I86" s="10" t="str">
        <x:f>RawRecords!K311</x:f>
        <x:v>N/A</x:v>
      </x:c>
      <x:c r="J86" s="10" t="n">
        <x:f>RawRecords!L311</x:f>
        <x:v>16.8272</x:v>
      </x:c>
      <x:c r="K86" s="10" t="n">
        <x:f>RawRecords!M311</x:f>
        <x:v>2.7122</x:v>
      </x:c>
      <x:c r="L86" s="1" t="n">
        <x:v>57</x:v>
      </x:c>
      <x:c r="M86" s="1" t="n">
        <x:v>311</x:v>
      </x:c>
    </x:row>
    <x:row r="87" ht="23" customHeight="1">
      <x:c r="A87" s="1" t="n">
        <x:v>2</x:v>
      </x:c>
      <x:c r="B87" s="1" t="str">
        <x:v>Fast</x:v>
      </x:c>
      <x:c r="C87" s="9" t="n">
        <x:f>RawRecords!A312</x:f>
        <x:v>46247.440620127316</x:v>
      </x:c>
      <x:c r="D87" s="10" t="n">
        <x:f>RawRecords!F312</x:f>
        <x:v>10.4385</x:v>
      </x:c>
      <x:c r="E87" s="10" t="str">
        <x:f>RawRecords!G312</x:f>
        <x:v>N/A (Bypassed)</x:v>
      </x:c>
      <x:c r="F87" s="10" t="str">
        <x:f>RawRecords!H312</x:f>
        <x:v>N/A (Bypassed)</x:v>
      </x:c>
      <x:c r="G87" s="10" t="str">
        <x:f>RawRecords!I312</x:f>
        <x:v>N/A (Bypassed)</x:v>
      </x:c>
      <x:c r="H87" s="10" t="str">
        <x:f>RawRecords!J312</x:f>
        <x:v>N/A (Bypassed)</x:v>
      </x:c>
      <x:c r="I87" s="10" t="str">
        <x:f>RawRecords!K312</x:f>
        <x:v>N/A</x:v>
      </x:c>
      <x:c r="J87" s="10" t="n">
        <x:f>RawRecords!L312</x:f>
        <x:v>10.4385</x:v>
      </x:c>
      <x:c r="K87" s="10" t="n">
        <x:f>RawRecords!M312</x:f>
        <x:v>2.8092</x:v>
      </x:c>
      <x:c r="L87" s="1" t="n">
        <x:v>58</x:v>
      </x:c>
      <x:c r="M87" s="1" t="n">
        <x:v>312</x:v>
      </x:c>
    </x:row>
    <x:row r="88" ht="23" customHeight="1">
      <x:c r="A88" s="1" t="n">
        <x:v>2</x:v>
      </x:c>
      <x:c r="B88" s="1" t="str">
        <x:v>Fast</x:v>
      </x:c>
      <x:c r="C88" s="9" t="n">
        <x:f>RawRecords!A313</x:f>
        <x:v>46247.44059488426</x:v>
      </x:c>
      <x:c r="D88" s="10" t="n">
        <x:f>RawRecords!F313</x:f>
        <x:v>11.3357</x:v>
      </x:c>
      <x:c r="E88" s="10" t="str">
        <x:f>RawRecords!G313</x:f>
        <x:v>N/A (Bypassed)</x:v>
      </x:c>
      <x:c r="F88" s="10" t="str">
        <x:f>RawRecords!H313</x:f>
        <x:v>N/A (Bypassed)</x:v>
      </x:c>
      <x:c r="G88" s="10" t="str">
        <x:f>RawRecords!I313</x:f>
        <x:v>N/A (Bypassed)</x:v>
      </x:c>
      <x:c r="H88" s="10" t="str">
        <x:f>RawRecords!J313</x:f>
        <x:v>N/A (Bypassed)</x:v>
      </x:c>
      <x:c r="I88" s="10" t="str">
        <x:f>RawRecords!K313</x:f>
        <x:v>N/A</x:v>
      </x:c>
      <x:c r="J88" s="10" t="n">
        <x:f>RawRecords!L313</x:f>
        <x:v>11.3357</x:v>
      </x:c>
      <x:c r="K88" s="10" t="n">
        <x:f>RawRecords!M313</x:f>
        <x:v>2.6247</x:v>
      </x:c>
      <x:c r="L88" s="1" t="n">
        <x:v>59</x:v>
      </x:c>
      <x:c r="M88" s="1" t="n">
        <x:v>313</x:v>
      </x:c>
    </x:row>
    <x:row r="89" ht="23" customHeight="1">
      <x:c r="A89" s="1" t="n">
        <x:v>2</x:v>
      </x:c>
      <x:c r="B89" s="1" t="str">
        <x:v>Fast</x:v>
      </x:c>
      <x:c r="C89" s="9" t="n">
        <x:f>RawRecords!A314</x:f>
        <x:v>46247.440564537035</x:v>
      </x:c>
      <x:c r="D89" s="10" t="n">
        <x:f>RawRecords!F314</x:f>
        <x:v>9.9998</x:v>
      </x:c>
      <x:c r="E89" s="10" t="str">
        <x:f>RawRecords!G314</x:f>
        <x:v>N/A (Bypassed)</x:v>
      </x:c>
      <x:c r="F89" s="10" t="str">
        <x:f>RawRecords!H314</x:f>
        <x:v>N/A (Bypassed)</x:v>
      </x:c>
      <x:c r="G89" s="10" t="str">
        <x:f>RawRecords!I314</x:f>
        <x:v>N/A (Bypassed)</x:v>
      </x:c>
      <x:c r="H89" s="10" t="str">
        <x:f>RawRecords!J314</x:f>
        <x:v>N/A (Bypassed)</x:v>
      </x:c>
      <x:c r="I89" s="10" t="str">
        <x:f>RawRecords!K314</x:f>
        <x:v>N/A</x:v>
      </x:c>
      <x:c r="J89" s="10" t="n">
        <x:f>RawRecords!L314</x:f>
        <x:v>9.9998</x:v>
      </x:c>
      <x:c r="K89" s="10" t="n">
        <x:f>RawRecords!M314</x:f>
        <x:v>2.4694</x:v>
      </x:c>
      <x:c r="L89" s="1" t="n">
        <x:v>60</x:v>
      </x:c>
      <x:c r="M89" s="1" t="n">
        <x:v>314</x:v>
      </x:c>
    </x:row>
    <x:row r="90" ht="23" customHeight="1">
      <x:c r="A90" s="1" t="n">
        <x:v>2</x:v>
      </x:c>
      <x:c r="B90" s="1" t="str">
        <x:v>Fast</x:v>
      </x:c>
      <x:c r="C90" s="9" t="n">
        <x:f>RawRecords!A315</x:f>
        <x:v>46247.440539930554</x:v>
      </x:c>
      <x:c r="D90" s="10" t="n">
        <x:f>RawRecords!F315</x:f>
        <x:v>11.5301</x:v>
      </x:c>
      <x:c r="E90" s="10" t="str">
        <x:f>RawRecords!G315</x:f>
        <x:v>N/A (Bypassed)</x:v>
      </x:c>
      <x:c r="F90" s="10" t="str">
        <x:f>RawRecords!H315</x:f>
        <x:v>N/A (Bypassed)</x:v>
      </x:c>
      <x:c r="G90" s="10" t="str">
        <x:f>RawRecords!I315</x:f>
        <x:v>N/A (Bypassed)</x:v>
      </x:c>
      <x:c r="H90" s="10" t="str">
        <x:f>RawRecords!J315</x:f>
        <x:v>N/A (Bypassed)</x:v>
      </x:c>
      <x:c r="I90" s="10" t="str">
        <x:f>RawRecords!K315</x:f>
        <x:v>N/A</x:v>
      </x:c>
      <x:c r="J90" s="10" t="n">
        <x:f>RawRecords!L315</x:f>
        <x:v>11.5301</x:v>
      </x:c>
      <x:c r="K90" s="10" t="n">
        <x:f>RawRecords!M315</x:f>
        <x:v>4.4718</x:v>
      </x:c>
      <x:c r="L90" s="1" t="n">
        <x:v>61</x:v>
      </x:c>
      <x:c r="M90" s="1" t="n">
        <x:v>315</x:v>
      </x:c>
    </x:row>
    <x:row r="91" ht="23" customHeight="1">
      <x:c r="A91" s="1" t="n">
        <x:v>2</x:v>
      </x:c>
      <x:c r="B91" s="1" t="str">
        <x:v>Fast</x:v>
      </x:c>
      <x:c r="C91" s="9" t="n">
        <x:f>RawRecords!A316</x:f>
        <x:v>46247.44050732639</x:v>
      </x:c>
      <x:c r="D91" s="10" t="n">
        <x:f>RawRecords!F316</x:f>
        <x:v>11.1605</x:v>
      </x:c>
      <x:c r="E91" s="10" t="str">
        <x:f>RawRecords!G316</x:f>
        <x:v>N/A (Bypassed)</x:v>
      </x:c>
      <x:c r="F91" s="10" t="str">
        <x:f>RawRecords!H316</x:f>
        <x:v>N/A (Bypassed)</x:v>
      </x:c>
      <x:c r="G91" s="10" t="str">
        <x:f>RawRecords!I316</x:f>
        <x:v>N/A (Bypassed)</x:v>
      </x:c>
      <x:c r="H91" s="10" t="str">
        <x:f>RawRecords!J316</x:f>
        <x:v>N/A (Bypassed)</x:v>
      </x:c>
      <x:c r="I91" s="10" t="str">
        <x:f>RawRecords!K316</x:f>
        <x:v>N/A</x:v>
      </x:c>
      <x:c r="J91" s="10" t="n">
        <x:f>RawRecords!L316</x:f>
        <x:v>11.1605</x:v>
      </x:c>
      <x:c r="K91" s="10" t="n">
        <x:f>RawRecords!M316</x:f>
        <x:v>3.7464</x:v>
      </x:c>
      <x:c r="L91" s="1" t="n">
        <x:v>62</x:v>
      </x:c>
      <x:c r="M91" s="1" t="n">
        <x:v>316</x:v>
      </x:c>
    </x:row>
    <x:row r="92" ht="23" customHeight="1">
      <x:c r="A92" s="1" t="n">
        <x:v>2</x:v>
      </x:c>
      <x:c r="B92" s="1" t="str">
        <x:v>Fast</x:v>
      </x:c>
      <x:c r="C92" s="9" t="n">
        <x:f>RawRecords!A317</x:f>
        <x:v>46247.44047087963</x:v>
      </x:c>
      <x:c r="D92" s="10" t="n">
        <x:f>RawRecords!F317</x:f>
        <x:v>9.465</x:v>
      </x:c>
      <x:c r="E92" s="10" t="str">
        <x:f>RawRecords!G317</x:f>
        <x:v>N/A (Bypassed)</x:v>
      </x:c>
      <x:c r="F92" s="10" t="str">
        <x:f>RawRecords!H317</x:f>
        <x:v>N/A (Bypassed)</x:v>
      </x:c>
      <x:c r="G92" s="10" t="str">
        <x:f>RawRecords!I317</x:f>
        <x:v>N/A (Bypassed)</x:v>
      </x:c>
      <x:c r="H92" s="10" t="str">
        <x:f>RawRecords!J317</x:f>
        <x:v>N/A (Bypassed)</x:v>
      </x:c>
      <x:c r="I92" s="10" t="str">
        <x:f>RawRecords!K317</x:f>
        <x:v>N/A</x:v>
      </x:c>
      <x:c r="J92" s="10" t="n">
        <x:f>RawRecords!L317</x:f>
        <x:v>9.465</x:v>
      </x:c>
      <x:c r="K92" s="10" t="n">
        <x:f>RawRecords!M317</x:f>
        <x:v>0.5415</x:v>
      </x:c>
      <x:c r="L92" s="1" t="n">
        <x:v>63</x:v>
      </x:c>
      <x:c r="M92" s="1" t="n">
        <x:v>317</x:v>
      </x:c>
    </x:row>
    <x:row r="93" ht="23" customHeight="1">
      <x:c r="A93" s="1" t="n">
        <x:v>1</x:v>
      </x:c>
      <x:c r="B93" s="1" t="str">
        <x:v>Standard</x:v>
      </x:c>
      <x:c r="C93" s="9" t="n">
        <x:f>RawRecords!A108</x:f>
        <x:v>46246.489539849536</x:v>
      </x:c>
      <x:c r="D93" s="10" t="n">
        <x:f>RawRecords!F108</x:f>
        <x:v>12.4381</x:v>
      </x:c>
      <x:c r="E93" s="10" t="n">
        <x:f>RawRecords!G108</x:f>
        <x:v>4675.1188</x:v>
      </x:c>
      <x:c r="F93" s="10" t="n">
        <x:f>RawRecords!H108</x:f>
        <x:v>39.3907</x:v>
      </x:c>
      <x:c r="G93" s="10" t="str">
        <x:f>RawRecords!I108</x:f>
        <x:v>N/A (Bypassed)</x:v>
      </x:c>
      <x:c r="H93" s="10" t="str">
        <x:f>RawRecords!J108</x:f>
        <x:v>N/A (Bypassed)</x:v>
      </x:c>
      <x:c r="I93" s="10" t="n">
        <x:f>RawRecords!K108</x:f>
        <x:v>4675.1188</x:v>
      </x:c>
      <x:c r="J93" s="10" t="n">
        <x:f>RawRecords!L108</x:f>
        <x:v>51.8288</x:v>
      </x:c>
      <x:c r="K93" s="10" t="n">
        <x:f>RawRecords!M108</x:f>
        <x:v>44.3327</x:v>
      </x:c>
      <x:c r="L93" s="1" t="n">
        <x:v>23</x:v>
      </x:c>
      <x:c r="M93" s="1" t="n">
        <x:v>108</x:v>
      </x:c>
    </x:row>
    <x:row r="94" ht="23" customHeight="1">
      <x:c r="A94" s="1" t="n">
        <x:v>1</x:v>
      </x:c>
      <x:c r="B94" s="1" t="str">
        <x:v>Standard</x:v>
      </x:c>
      <x:c r="C94" s="9" t="n">
        <x:f>RawRecords!A109</x:f>
        <x:v>46246.489436006945</x:v>
      </x:c>
      <x:c r="D94" s="10" t="n">
        <x:f>RawRecords!F109</x:f>
        <x:v>11.1366</x:v>
      </x:c>
      <x:c r="E94" s="10" t="n">
        <x:f>RawRecords!G109</x:f>
        <x:v>2035.4154</x:v>
      </x:c>
      <x:c r="F94" s="10" t="n">
        <x:f>RawRecords!H109</x:f>
        <x:v>37.7747</x:v>
      </x:c>
      <x:c r="G94" s="10" t="str">
        <x:f>RawRecords!I109</x:f>
        <x:v>N/A (Bypassed)</x:v>
      </x:c>
      <x:c r="H94" s="10" t="str">
        <x:f>RawRecords!J109</x:f>
        <x:v>N/A (Bypassed)</x:v>
      </x:c>
      <x:c r="I94" s="10" t="n">
        <x:f>RawRecords!K109</x:f>
        <x:v>2035.4154</x:v>
      </x:c>
      <x:c r="J94" s="10" t="n">
        <x:f>RawRecords!L109</x:f>
        <x:v>48.9113</x:v>
      </x:c>
      <x:c r="K94" s="10" t="n">
        <x:f>RawRecords!M109</x:f>
        <x:v>40.2317</x:v>
      </x:c>
      <x:c r="L94" s="1" t="n">
        <x:v>24</x:v>
      </x:c>
      <x:c r="M94" s="1" t="n">
        <x:v>109</x:v>
      </x:c>
    </x:row>
    <x:row r="95" ht="23" customHeight="1">
      <x:c r="A95" s="1" t="n">
        <x:v>1</x:v>
      </x:c>
      <x:c r="B95" s="1" t="str">
        <x:v>Standard</x:v>
      </x:c>
      <x:c r="C95" s="9" t="n">
        <x:f>RawRecords!A110</x:f>
        <x:v>46246.48936677084</x:v>
      </x:c>
      <x:c r="D95" s="10" t="n">
        <x:f>RawRecords!F110</x:f>
        <x:v>11.8264</x:v>
      </x:c>
      <x:c r="E95" s="10" t="n">
        <x:f>RawRecords!G110</x:f>
        <x:v>2254.7538</x:v>
      </x:c>
      <x:c r="F95" s="10" t="n">
        <x:f>RawRecords!H110</x:f>
        <x:v>37.7416</x:v>
      </x:c>
      <x:c r="G95" s="10" t="str">
        <x:f>RawRecords!I110</x:f>
        <x:v>N/A (Bypassed)</x:v>
      </x:c>
      <x:c r="H95" s="10" t="str">
        <x:f>RawRecords!J110</x:f>
        <x:v>N/A (Bypassed)</x:v>
      </x:c>
      <x:c r="I95" s="10" t="n">
        <x:f>RawRecords!K110</x:f>
        <x:v>2254.7538</x:v>
      </x:c>
      <x:c r="J95" s="10" t="n">
        <x:f>RawRecords!L110</x:f>
        <x:v>49.568</x:v>
      </x:c>
      <x:c r="K95" s="10" t="n">
        <x:f>RawRecords!M110</x:f>
        <x:v>42.3421</x:v>
      </x:c>
      <x:c r="L95" s="1" t="n">
        <x:v>25</x:v>
      </x:c>
      <x:c r="M95" s="1" t="n">
        <x:v>110</x:v>
      </x:c>
    </x:row>
    <x:row r="96" ht="23" customHeight="1">
      <x:c r="A96" s="1" t="n">
        <x:v>1</x:v>
      </x:c>
      <x:c r="B96" s="1" t="str">
        <x:v>Standard</x:v>
      </x:c>
      <x:c r="C96" s="9" t="n">
        <x:f>RawRecords!A111</x:f>
        <x:v>46246.48929003472</x:v>
      </x:c>
      <x:c r="D96" s="10" t="n">
        <x:f>RawRecords!F111</x:f>
        <x:v>9.9338</x:v>
      </x:c>
      <x:c r="E96" s="10" t="n">
        <x:f>RawRecords!G111</x:f>
        <x:v>3410.2572</x:v>
      </x:c>
      <x:c r="F96" s="10" t="n">
        <x:f>RawRecords!H111</x:f>
        <x:v>39.4641</x:v>
      </x:c>
      <x:c r="G96" s="10" t="str">
        <x:f>RawRecords!I111</x:f>
        <x:v>N/A (Bypassed)</x:v>
      </x:c>
      <x:c r="H96" s="10" t="str">
        <x:f>RawRecords!J111</x:f>
        <x:v>N/A (Bypassed)</x:v>
      </x:c>
      <x:c r="I96" s="10" t="n">
        <x:f>RawRecords!K111</x:f>
        <x:v>3410.2572</x:v>
      </x:c>
      <x:c r="J96" s="10" t="n">
        <x:f>RawRecords!L111</x:f>
        <x:v>49.3979</x:v>
      </x:c>
      <x:c r="K96" s="10" t="n">
        <x:f>RawRecords!M111</x:f>
        <x:v>42.1556</x:v>
      </x:c>
      <x:c r="L96" s="1" t="n">
        <x:v>26</x:v>
      </x:c>
      <x:c r="M96" s="1" t="n">
        <x:v>111</x:v>
      </x:c>
    </x:row>
    <x:row r="97" ht="23" customHeight="1">
      <x:c r="A97" s="1" t="n">
        <x:v>1</x:v>
      </x:c>
      <x:c r="B97" s="1" t="str">
        <x:v>Standard</x:v>
      </x:c>
      <x:c r="C97" s="9" t="n">
        <x:f>RawRecords!A112</x:f>
        <x:v>46246.48919972222</x:v>
      </x:c>
      <x:c r="D97" s="10" t="n">
        <x:f>RawRecords!F112</x:f>
        <x:v>12.2827</x:v>
      </x:c>
      <x:c r="E97" s="10" t="n">
        <x:f>RawRecords!G112</x:f>
        <x:v>4894.8698</x:v>
      </x:c>
      <x:c r="F97" s="10" t="n">
        <x:f>RawRecords!H112</x:f>
        <x:v>38.7233</x:v>
      </x:c>
      <x:c r="G97" s="10" t="str">
        <x:f>RawRecords!I112</x:f>
        <x:v>N/A (Bypassed)</x:v>
      </x:c>
      <x:c r="H97" s="10" t="str">
        <x:f>RawRecords!J112</x:f>
        <x:v>N/A (Bypassed)</x:v>
      </x:c>
      <x:c r="I97" s="10" t="n">
        <x:f>RawRecords!K112</x:f>
        <x:v>4894.8698</x:v>
      </x:c>
      <x:c r="J97" s="10" t="n">
        <x:f>RawRecords!L112</x:f>
        <x:v>51.006</x:v>
      </x:c>
      <x:c r="K97" s="10" t="n">
        <x:f>RawRecords!M112</x:f>
        <x:v>43.1867</x:v>
      </x:c>
      <x:c r="L97" s="1" t="n">
        <x:v>27</x:v>
      </x:c>
      <x:c r="M97" s="1" t="n">
        <x:v>112</x:v>
      </x:c>
    </x:row>
    <x:row r="98" ht="23" customHeight="1">
      <x:c r="A98" s="1" t="n">
        <x:v>1</x:v>
      </x:c>
      <x:c r="B98" s="1" t="str">
        <x:v>Standard</x:v>
      </x:c>
      <x:c r="C98" s="9" t="n">
        <x:f>RawRecords!A113</x:f>
        <x:v>46246.48909199074</x:v>
      </x:c>
      <x:c r="D98" s="10" t="n">
        <x:f>RawRecords!F113</x:f>
        <x:v>11.517</x:v>
      </x:c>
      <x:c r="E98" s="10" t="n">
        <x:f>RawRecords!G113</x:f>
        <x:v>1924.4349</x:v>
      </x:c>
      <x:c r="F98" s="10" t="n">
        <x:f>RawRecords!H113</x:f>
        <x:v>38.0542</x:v>
      </x:c>
      <x:c r="G98" s="10" t="str">
        <x:f>RawRecords!I113</x:f>
        <x:v>N/A (Bypassed)</x:v>
      </x:c>
      <x:c r="H98" s="10" t="str">
        <x:f>RawRecords!J113</x:f>
        <x:v>N/A (Bypassed)</x:v>
      </x:c>
      <x:c r="I98" s="10" t="n">
        <x:f>RawRecords!K113</x:f>
        <x:v>1924.4349</x:v>
      </x:c>
      <x:c r="J98" s="10" t="n">
        <x:f>RawRecords!L113</x:f>
        <x:v>49.5712</x:v>
      </x:c>
      <x:c r="K98" s="10" t="n">
        <x:f>RawRecords!M113</x:f>
        <x:v>41.2201</x:v>
      </x:c>
      <x:c r="L98" s="1" t="n">
        <x:v>28</x:v>
      </x:c>
      <x:c r="M98" s="1" t="n">
        <x:v>113</x:v>
      </x:c>
    </x:row>
    <x:row r="99" ht="23" customHeight="1">
      <x:c r="A99" s="1" t="n">
        <x:v>1</x:v>
      </x:c>
      <x:c r="B99" s="1" t="str">
        <x:v>Standard</x:v>
      </x:c>
      <x:c r="C99" s="9" t="n">
        <x:f>RawRecords!A114</x:f>
        <x:v>46246.489027557865</x:v>
      </x:c>
      <x:c r="D99" s="10" t="n">
        <x:f>RawRecords!F114</x:f>
        <x:v>11.1719</x:v>
      </x:c>
      <x:c r="E99" s="10" t="n">
        <x:f>RawRecords!G114</x:f>
        <x:v>2859.032</x:v>
      </x:c>
      <x:c r="F99" s="10" t="n">
        <x:f>RawRecords!H114</x:f>
        <x:v>38.0093</x:v>
      </x:c>
      <x:c r="G99" s="10" t="str">
        <x:f>RawRecords!I114</x:f>
        <x:v>N/A (Bypassed)</x:v>
      </x:c>
      <x:c r="H99" s="10" t="str">
        <x:f>RawRecords!J114</x:f>
        <x:v>N/A (Bypassed)</x:v>
      </x:c>
      <x:c r="I99" s="10" t="n">
        <x:f>RawRecords!K114</x:f>
        <x:v>2859.032</x:v>
      </x:c>
      <x:c r="J99" s="10" t="n">
        <x:f>RawRecords!L114</x:f>
        <x:v>49.1812</x:v>
      </x:c>
      <x:c r="K99" s="10" t="n">
        <x:f>RawRecords!M114</x:f>
        <x:v>41.9457</x:v>
      </x:c>
      <x:c r="L99" s="1" t="n">
        <x:v>29</x:v>
      </x:c>
      <x:c r="M99" s="1" t="n">
        <x:v>114</x:v>
      </x:c>
    </x:row>
    <x:row r="100" ht="23" customHeight="1">
      <x:c r="A100" s="1" t="n">
        <x:v>1</x:v>
      </x:c>
      <x:c r="B100" s="1" t="str">
        <x:v>Standard</x:v>
      </x:c>
      <x:c r="C100" s="9" t="n">
        <x:f>RawRecords!A116</x:f>
        <x:v>46246.4888721412</x:v>
      </x:c>
      <x:c r="D100" s="10" t="n">
        <x:f>RawRecords!F116</x:f>
        <x:v>11.7052</x:v>
      </x:c>
      <x:c r="E100" s="10" t="n">
        <x:f>RawRecords!G116</x:f>
        <x:v>6655.2474</x:v>
      </x:c>
      <x:c r="F100" s="10" t="n">
        <x:f>RawRecords!H116</x:f>
        <x:v>41.3058</x:v>
      </x:c>
      <x:c r="G100" s="10" t="str">
        <x:f>RawRecords!I116</x:f>
        <x:v>N/A (Bypassed)</x:v>
      </x:c>
      <x:c r="H100" s="10" t="str">
        <x:f>RawRecords!J116</x:f>
        <x:v>N/A (Bypassed)</x:v>
      </x:c>
      <x:c r="I100" s="10" t="n">
        <x:f>RawRecords!K116</x:f>
        <x:v>6655.2474</x:v>
      </x:c>
      <x:c r="J100" s="10" t="n">
        <x:f>RawRecords!L116</x:f>
        <x:v>53.011</x:v>
      </x:c>
      <x:c r="K100" s="10" t="n">
        <x:f>RawRecords!M116</x:f>
        <x:v>44.0396</x:v>
      </x:c>
      <x:c r="L100" s="1" t="n">
        <x:v>31</x:v>
      </x:c>
      <x:c r="M100" s="1" t="n">
        <x:v>116</x:v>
      </x:c>
    </x:row>
    <x:row r="101" ht="23" customHeight="1">
      <x:c r="A101" s="1" t="n">
        <x:v>1</x:v>
      </x:c>
      <x:c r="B101" s="1" t="str">
        <x:v>Standard</x:v>
      </x:c>
      <x:c r="C101" s="9" t="n">
        <x:f>RawRecords!A117</x:f>
        <x:v>46246.48871954861</x:v>
      </x:c>
      <x:c r="D101" s="10" t="n">
        <x:f>RawRecords!F117</x:f>
        <x:v>10.7369</x:v>
      </x:c>
      <x:c r="E101" s="10" t="n">
        <x:f>RawRecords!G117</x:f>
        <x:v>2364.5471</x:v>
      </x:c>
      <x:c r="F101" s="10" t="n">
        <x:f>RawRecords!H117</x:f>
        <x:v>40.2384</x:v>
      </x:c>
      <x:c r="G101" s="10" t="str">
        <x:f>RawRecords!I117</x:f>
        <x:v>N/A (Bypassed)</x:v>
      </x:c>
      <x:c r="H101" s="10" t="str">
        <x:f>RawRecords!J117</x:f>
        <x:v>N/A (Bypassed)</x:v>
      </x:c>
      <x:c r="I101" s="10" t="n">
        <x:f>RawRecords!K117</x:f>
        <x:v>2364.5471</x:v>
      </x:c>
      <x:c r="J101" s="10" t="n">
        <x:f>RawRecords!L117</x:f>
        <x:v>50.9753</x:v>
      </x:c>
      <x:c r="K101" s="10" t="n">
        <x:f>RawRecords!M117</x:f>
        <x:v>80.829</x:v>
      </x:c>
      <x:c r="L101" s="1" t="n">
        <x:v>32</x:v>
      </x:c>
      <x:c r="M101" s="1" t="n">
        <x:v>117</x:v>
      </x:c>
    </x:row>
    <x:row r="102" ht="23" customHeight="1">
      <x:c r="A102" s="1" t="n">
        <x:v>1</x:v>
      </x:c>
      <x:c r="B102" s="1" t="str">
        <x:v>Standard</x:v>
      </x:c>
      <x:c r="C102" s="9" t="n">
        <x:f>RawRecords!A119</x:f>
        <x:v>46246.48856462963</x:v>
      </x:c>
      <x:c r="D102" s="10" t="n">
        <x:f>RawRecords!F119</x:f>
        <x:v>12.0806</x:v>
      </x:c>
      <x:c r="E102" s="10" t="n">
        <x:f>RawRecords!G119</x:f>
        <x:v>2199.784</x:v>
      </x:c>
      <x:c r="F102" s="10" t="n">
        <x:f>RawRecords!H119</x:f>
        <x:v>36.3904</x:v>
      </x:c>
      <x:c r="G102" s="10" t="str">
        <x:f>RawRecords!I119</x:f>
        <x:v>N/A (Bypassed)</x:v>
      </x:c>
      <x:c r="H102" s="10" t="str">
        <x:f>RawRecords!J119</x:f>
        <x:v>N/A (Bypassed)</x:v>
      </x:c>
      <x:c r="I102" s="10" t="n">
        <x:f>RawRecords!K119</x:f>
        <x:v>2199.784</x:v>
      </x:c>
      <x:c r="J102" s="10" t="n">
        <x:f>RawRecords!L119</x:f>
        <x:v>48.471</x:v>
      </x:c>
      <x:c r="K102" s="10" t="n">
        <x:f>RawRecords!M119</x:f>
        <x:v>39.2928</x:v>
      </x:c>
      <x:c r="L102" s="1" t="n">
        <x:v>34</x:v>
      </x:c>
      <x:c r="M102" s="1" t="n">
        <x:v>119</x:v>
      </x:c>
    </x:row>
    <x:row r="103" ht="23" customHeight="1">
      <x:c r="A103" s="1" t="n">
        <x:v>1</x:v>
      </x:c>
      <x:c r="B103" s="1" t="str">
        <x:v>Standard</x:v>
      </x:c>
      <x:c r="C103" s="9" t="n">
        <x:f>RawRecords!A120</x:f>
        <x:v>46246.488478495376</x:v>
      </x:c>
      <x:c r="D103" s="10" t="n">
        <x:f>RawRecords!F120</x:f>
        <x:v>10.6069</x:v>
      </x:c>
      <x:c r="E103" s="10" t="n">
        <x:f>RawRecords!G120</x:f>
        <x:v>1924.8829</x:v>
      </x:c>
      <x:c r="F103" s="10" t="n">
        <x:f>RawRecords!H120</x:f>
        <x:v>42.3899</x:v>
      </x:c>
      <x:c r="G103" s="10" t="str">
        <x:f>RawRecords!I120</x:f>
        <x:v>N/A (Bypassed)</x:v>
      </x:c>
      <x:c r="H103" s="10" t="str">
        <x:f>RawRecords!J120</x:f>
        <x:v>N/A (Bypassed)</x:v>
      </x:c>
      <x:c r="I103" s="10" t="n">
        <x:f>RawRecords!K120</x:f>
        <x:v>1924.8829</x:v>
      </x:c>
      <x:c r="J103" s="10" t="n">
        <x:f>RawRecords!L120</x:f>
        <x:v>52.9968</x:v>
      </x:c>
      <x:c r="K103" s="10" t="n">
        <x:f>RawRecords!M120</x:f>
        <x:v>83.5946</x:v>
      </x:c>
      <x:c r="L103" s="1" t="n">
        <x:v>35</x:v>
      </x:c>
      <x:c r="M103" s="1" t="n">
        <x:v>120</x:v>
      </x:c>
    </x:row>
    <x:row r="104" ht="23" customHeight="1">
      <x:c r="A104" s="1" t="n">
        <x:v>1</x:v>
      </x:c>
      <x:c r="B104" s="1" t="str">
        <x:v>Standard</x:v>
      </x:c>
      <x:c r="C104" s="9" t="n">
        <x:f>RawRecords!A122</x:f>
        <x:v>46246.488352291664</x:v>
      </x:c>
      <x:c r="D104" s="10" t="n">
        <x:f>RawRecords!F122</x:f>
        <x:v>11.4355</x:v>
      </x:c>
      <x:c r="E104" s="10" t="n">
        <x:f>RawRecords!G122</x:f>
        <x:v>1704.7653</x:v>
      </x:c>
      <x:c r="F104" s="10" t="n">
        <x:f>RawRecords!H122</x:f>
        <x:v>40.1051</x:v>
      </x:c>
      <x:c r="G104" s="10" t="str">
        <x:f>RawRecords!I122</x:f>
        <x:v>N/A (Bypassed)</x:v>
      </x:c>
      <x:c r="H104" s="10" t="str">
        <x:f>RawRecords!J122</x:f>
        <x:v>N/A (Bypassed)</x:v>
      </x:c>
      <x:c r="I104" s="10" t="n">
        <x:f>RawRecords!K122</x:f>
        <x:v>1704.7653</x:v>
      </x:c>
      <x:c r="J104" s="10" t="n">
        <x:f>RawRecords!L122</x:f>
        <x:v>51.5406</x:v>
      </x:c>
      <x:c r="K104" s="10" t="n">
        <x:f>RawRecords!M122</x:f>
        <x:v>42.6222</x:v>
      </x:c>
      <x:c r="L104" s="1" t="n">
        <x:v>37</x:v>
      </x:c>
      <x:c r="M104" s="1" t="n">
        <x:v>122</x:v>
      </x:c>
    </x:row>
    <x:row r="105" ht="23" customHeight="1">
      <x:c r="A105" s="1" t="n">
        <x:v>1</x:v>
      </x:c>
      <x:c r="B105" s="1" t="str">
        <x:v>Standard</x:v>
      </x:c>
      <x:c r="C105" s="9" t="n">
        <x:f>RawRecords!A123</x:f>
        <x:v>46246.488287395834</x:v>
      </x:c>
      <x:c r="D105" s="10" t="n">
        <x:f>RawRecords!F123</x:f>
        <x:v>10.7819</x:v>
      </x:c>
      <x:c r="E105" s="10" t="n">
        <x:f>RawRecords!G123</x:f>
        <x:v>1650.0672</x:v>
      </x:c>
      <x:c r="F105" s="10" t="n">
        <x:f>RawRecords!H123</x:f>
        <x:v>38.7403</x:v>
      </x:c>
      <x:c r="G105" s="10" t="str">
        <x:f>RawRecords!I123</x:f>
        <x:v>N/A (Bypassed)</x:v>
      </x:c>
      <x:c r="H105" s="10" t="str">
        <x:f>RawRecords!J123</x:f>
        <x:v>N/A (Bypassed)</x:v>
      </x:c>
      <x:c r="I105" s="10" t="n">
        <x:f>RawRecords!K123</x:f>
        <x:v>1650.0672</x:v>
      </x:c>
      <x:c r="J105" s="10" t="n">
        <x:f>RawRecords!L123</x:f>
        <x:v>49.5222</x:v>
      </x:c>
      <x:c r="K105" s="10" t="n">
        <x:f>RawRecords!M123</x:f>
        <x:v>41.7491</x:v>
      </x:c>
      <x:c r="L105" s="1" t="n">
        <x:v>38</x:v>
      </x:c>
      <x:c r="M105" s="1" t="n">
        <x:v>123</x:v>
      </x:c>
    </x:row>
    <x:row r="106" ht="23" customHeight="1">
      <x:c r="A106" s="1" t="n">
        <x:v>1</x:v>
      </x:c>
      <x:c r="B106" s="1" t="str">
        <x:v>Standard</x:v>
      </x:c>
      <x:c r="C106" s="9" t="n">
        <x:f>RawRecords!A124</x:f>
        <x:v>46246.488206608796</x:v>
      </x:c>
      <x:c r="D106" s="10" t="n">
        <x:f>RawRecords!F124</x:f>
        <x:v>9.4705</x:v>
      </x:c>
      <x:c r="E106" s="10" t="n">
        <x:f>RawRecords!G124</x:f>
        <x:v>2200.7937</x:v>
      </x:c>
      <x:c r="F106" s="10" t="n">
        <x:f>RawRecords!H124</x:f>
        <x:v>38.7028</x:v>
      </x:c>
      <x:c r="G106" s="10" t="str">
        <x:f>RawRecords!I124</x:f>
        <x:v>N/A (Bypassed)</x:v>
      </x:c>
      <x:c r="H106" s="10" t="str">
        <x:f>RawRecords!J124</x:f>
        <x:v>N/A (Bypassed)</x:v>
      </x:c>
      <x:c r="I106" s="10" t="n">
        <x:f>RawRecords!K124</x:f>
        <x:v>2200.7937</x:v>
      </x:c>
      <x:c r="J106" s="10" t="n">
        <x:f>RawRecords!L124</x:f>
        <x:v>48.1733</x:v>
      </x:c>
      <x:c r="K106" s="10" t="n">
        <x:f>RawRecords!M124</x:f>
        <x:v>41.3348</x:v>
      </x:c>
      <x:c r="L106" s="1" t="n">
        <x:v>39</x:v>
      </x:c>
      <x:c r="M106" s="1" t="n">
        <x:v>124</x:v>
      </x:c>
    </x:row>
    <x:row r="107" ht="23" customHeight="1">
      <x:c r="A107" s="1" t="n">
        <x:v>1</x:v>
      </x:c>
      <x:c r="B107" s="1" t="str">
        <x:v>Standard</x:v>
      </x:c>
      <x:c r="C107" s="9" t="n">
        <x:f>RawRecords!A125</x:f>
        <x:v>46246.488132928236</x:v>
      </x:c>
      <x:c r="D107" s="10" t="n">
        <x:f>RawRecords!F125</x:f>
        <x:v>13.0403</x:v>
      </x:c>
      <x:c r="E107" s="10" t="n">
        <x:f>RawRecords!G125</x:f>
        <x:v>1649.5563</x:v>
      </x:c>
      <x:c r="F107" s="10" t="n">
        <x:f>RawRecords!H125</x:f>
        <x:v>41.4026</x:v>
      </x:c>
      <x:c r="G107" s="10" t="str">
        <x:f>RawRecords!I125</x:f>
        <x:v>N/A (Bypassed)</x:v>
      </x:c>
      <x:c r="H107" s="10" t="str">
        <x:f>RawRecords!J125</x:f>
        <x:v>N/A (Bypassed)</x:v>
      </x:c>
      <x:c r="I107" s="10" t="n">
        <x:f>RawRecords!K125</x:f>
        <x:v>1649.5563</x:v>
      </x:c>
      <x:c r="J107" s="10" t="n">
        <x:f>RawRecords!L125</x:f>
        <x:v>54.4429</x:v>
      </x:c>
      <x:c r="K107" s="10" t="n">
        <x:f>RawRecords!M125</x:f>
        <x:v>46.2788</x:v>
      </x:c>
      <x:c r="L107" s="1" t="n">
        <x:v>40</x:v>
      </x:c>
      <x:c r="M107" s="1" t="n">
        <x:v>125</x:v>
      </x:c>
    </x:row>
    <x:row r="108" ht="23" customHeight="1">
      <x:c r="A108" s="1" t="n">
        <x:v>1</x:v>
      </x:c>
      <x:c r="B108" s="1" t="str">
        <x:v>Standard</x:v>
      </x:c>
      <x:c r="C108" s="9" t="n">
        <x:f>RawRecords!A126</x:f>
        <x:v>46246.48807054399</x:v>
      </x:c>
      <x:c r="D108" s="10" t="n">
        <x:f>RawRecords!F126</x:f>
        <x:v>11.7198</x:v>
      </x:c>
      <x:c r="E108" s="10" t="n">
        <x:f>RawRecords!G126</x:f>
        <x:v>2309.8369</x:v>
      </x:c>
      <x:c r="F108" s="10" t="n">
        <x:f>RawRecords!H126</x:f>
        <x:v>38.2538</x:v>
      </x:c>
      <x:c r="G108" s="10" t="str">
        <x:f>RawRecords!I126</x:f>
        <x:v>N/A (Bypassed)</x:v>
      </x:c>
      <x:c r="H108" s="10" t="str">
        <x:f>RawRecords!J126</x:f>
        <x:v>N/A (Bypassed)</x:v>
      </x:c>
      <x:c r="I108" s="10" t="n">
        <x:f>RawRecords!K126</x:f>
        <x:v>2309.8369</x:v>
      </x:c>
      <x:c r="J108" s="10" t="n">
        <x:f>RawRecords!L126</x:f>
        <x:v>49.9736</x:v>
      </x:c>
      <x:c r="K108" s="10" t="n">
        <x:f>RawRecords!M126</x:f>
        <x:v>41.1234</x:v>
      </x:c>
      <x:c r="L108" s="1" t="n">
        <x:v>41</x:v>
      </x:c>
      <x:c r="M108" s="1" t="n">
        <x:v>126</x:v>
      </x:c>
    </x:row>
    <x:row r="109" ht="23" customHeight="1">
      <x:c r="A109" s="1" t="n">
        <x:v>1</x:v>
      </x:c>
      <x:c r="B109" s="1" t="str">
        <x:v>Standard</x:v>
      </x:c>
      <x:c r="C109" s="9" t="n">
        <x:f>RawRecords!A127</x:f>
        <x:v>46246.48798024305</x:v>
      </x:c>
      <x:c r="D109" s="10" t="n">
        <x:f>RawRecords!F127</x:f>
        <x:v>12.1741</x:v>
      </x:c>
      <x:c r="E109" s="10" t="n">
        <x:f>RawRecords!G127</x:f>
        <x:v>1924.6548</x:v>
      </x:c>
      <x:c r="F109" s="10" t="n">
        <x:f>RawRecords!H127</x:f>
        <x:v>37.5864</x:v>
      </x:c>
      <x:c r="G109" s="10" t="str">
        <x:f>RawRecords!I127</x:f>
        <x:v>N/A (Bypassed)</x:v>
      </x:c>
      <x:c r="H109" s="10" t="str">
        <x:f>RawRecords!J127</x:f>
        <x:v>N/A (Bypassed)</x:v>
      </x:c>
      <x:c r="I109" s="10" t="n">
        <x:f>RawRecords!K127</x:f>
        <x:v>1924.6548</x:v>
      </x:c>
      <x:c r="J109" s="10" t="n">
        <x:f>RawRecords!L127</x:f>
        <x:v>49.7605</x:v>
      </x:c>
      <x:c r="K109" s="10" t="n">
        <x:f>RawRecords!M127</x:f>
        <x:v>41.9258</x:v>
      </x:c>
      <x:c r="L109" s="1" t="n">
        <x:v>42</x:v>
      </x:c>
      <x:c r="M109" s="1" t="n">
        <x:v>127</x:v>
      </x:c>
    </x:row>
    <x:row r="110" ht="23" customHeight="1">
      <x:c r="A110" s="1" t="n">
        <x:v>1</x:v>
      </x:c>
      <x:c r="B110" s="1" t="str">
        <x:v>Standard</x:v>
      </x:c>
      <x:c r="C110" s="9" t="n">
        <x:f>RawRecords!A128</x:f>
        <x:v>46246.48790266203</x:v>
      </x:c>
      <x:c r="D110" s="10" t="n">
        <x:f>RawRecords!F128</x:f>
        <x:v>10.2658</x:v>
      </x:c>
      <x:c r="E110" s="10" t="n">
        <x:f>RawRecords!G128</x:f>
        <x:v>3629.8615</x:v>
      </x:c>
      <x:c r="F110" s="10" t="n">
        <x:f>RawRecords!H128</x:f>
        <x:v>39.219</x:v>
      </x:c>
      <x:c r="G110" s="10" t="str">
        <x:f>RawRecords!I128</x:f>
        <x:v>N/A (Bypassed)</x:v>
      </x:c>
      <x:c r="H110" s="10" t="str">
        <x:f>RawRecords!J128</x:f>
        <x:v>N/A (Bypassed)</x:v>
      </x:c>
      <x:c r="I110" s="10" t="n">
        <x:f>RawRecords!K128</x:f>
        <x:v>3629.8615</x:v>
      </x:c>
      <x:c r="J110" s="10" t="n">
        <x:f>RawRecords!L128</x:f>
        <x:v>49.4848</x:v>
      </x:c>
      <x:c r="K110" s="10" t="n">
        <x:f>RawRecords!M128</x:f>
        <x:v>41.9721</x:v>
      </x:c>
      <x:c r="L110" s="1" t="n">
        <x:v>43</x:v>
      </x:c>
      <x:c r="M110" s="1" t="n">
        <x:v>128</x:v>
      </x:c>
    </x:row>
    <x:row r="111" ht="23" customHeight="1">
      <x:c r="A111" s="1" t="n">
        <x:v>1</x:v>
      </x:c>
      <x:c r="B111" s="1" t="str">
        <x:v>Standard</x:v>
      </x:c>
      <x:c r="C111" s="9" t="n">
        <x:f>RawRecords!A129</x:f>
        <x:v>46246.48777565973</x:v>
      </x:c>
      <x:c r="D111" s="10" t="n">
        <x:f>RawRecords!F129</x:f>
        <x:v>12.1418</x:v>
      </x:c>
      <x:c r="E111" s="10" t="n">
        <x:f>RawRecords!G129</x:f>
        <x:v>2695.0871</x:v>
      </x:c>
      <x:c r="F111" s="10" t="n">
        <x:f>RawRecords!H129</x:f>
        <x:v>38.0377</x:v>
      </x:c>
      <x:c r="G111" s="10" t="str">
        <x:f>RawRecords!I129</x:f>
        <x:v>N/A (Bypassed)</x:v>
      </x:c>
      <x:c r="H111" s="10" t="str">
        <x:f>RawRecords!J129</x:f>
        <x:v>N/A (Bypassed)</x:v>
      </x:c>
      <x:c r="I111" s="10" t="n">
        <x:f>RawRecords!K129</x:f>
        <x:v>2695.0871</x:v>
      </x:c>
      <x:c r="J111" s="10" t="n">
        <x:f>RawRecords!L129</x:f>
        <x:v>50.1795</x:v>
      </x:c>
      <x:c r="K111" s="10" t="n">
        <x:f>RawRecords!M129</x:f>
        <x:v>79.6999</x:v>
      </x:c>
      <x:c r="L111" s="1" t="n">
        <x:v>44</x:v>
      </x:c>
      <x:c r="M111" s="1" t="n">
        <x:v>129</x:v>
      </x:c>
    </x:row>
    <x:row r="112" ht="23" customHeight="1">
      <x:c r="A112" s="1" t="n">
        <x:v>1</x:v>
      </x:c>
      <x:c r="B112" s="1" t="str">
        <x:v>Standard</x:v>
      </x:c>
      <x:c r="C112" s="9" t="n">
        <x:f>RawRecords!A131</x:f>
        <x:v>46246.48759346065</x:v>
      </x:c>
      <x:c r="D112" s="10" t="n">
        <x:f>RawRecords!F131</x:f>
        <x:v>9.4944</x:v>
      </x:c>
      <x:c r="E112" s="10" t="n">
        <x:f>RawRecords!G131</x:f>
        <x:v>1980.6406</x:v>
      </x:c>
      <x:c r="F112" s="10" t="n">
        <x:f>RawRecords!H131</x:f>
        <x:v>39.7385</x:v>
      </x:c>
      <x:c r="G112" s="10" t="str">
        <x:f>RawRecords!I131</x:f>
        <x:v>N/A (Bypassed)</x:v>
      </x:c>
      <x:c r="H112" s="10" t="str">
        <x:f>RawRecords!J131</x:f>
        <x:v>N/A (Bypassed)</x:v>
      </x:c>
      <x:c r="I112" s="10" t="n">
        <x:f>RawRecords!K131</x:f>
        <x:v>1980.6406</x:v>
      </x:c>
      <x:c r="J112" s="10" t="n">
        <x:f>RawRecords!L131</x:f>
        <x:v>49.2329</x:v>
      </x:c>
      <x:c r="K112" s="10" t="n">
        <x:f>RawRecords!M131</x:f>
        <x:v>40.3899</x:v>
      </x:c>
      <x:c r="L112" s="1" t="n">
        <x:v>46</x:v>
      </x:c>
      <x:c r="M112" s="1" t="n">
        <x:v>131</x:v>
      </x:c>
    </x:row>
    <x:row r="113" ht="23" customHeight="1">
      <x:c r="A113" s="1" t="n">
        <x:v>1</x:v>
      </x:c>
      <x:c r="B113" s="1" t="str">
        <x:v>Standard</x:v>
      </x:c>
      <x:c r="C113" s="9" t="n">
        <x:f>RawRecords!A152</x:f>
        <x:v>46246.486727766205</x:v>
      </x:c>
      <x:c r="D113" s="10" t="n">
        <x:f>RawRecords!F152</x:f>
        <x:v>9.6921</x:v>
      </x:c>
      <x:c r="E113" s="10" t="n">
        <x:f>RawRecords!G152</x:f>
        <x:v>2034.2775</x:v>
      </x:c>
      <x:c r="F113" s="10" t="n">
        <x:f>RawRecords!H152</x:f>
        <x:v>38.3015</x:v>
      </x:c>
      <x:c r="G113" s="10" t="str">
        <x:f>RawRecords!I152</x:f>
        <x:v>N/A (Bypassed)</x:v>
      </x:c>
      <x:c r="H113" s="10" t="str">
        <x:f>RawRecords!J152</x:f>
        <x:v>N/A (Bypassed)</x:v>
      </x:c>
      <x:c r="I113" s="10" t="n">
        <x:f>RawRecords!K152</x:f>
        <x:v>2034.2775</x:v>
      </x:c>
      <x:c r="J113" s="10" t="n">
        <x:f>RawRecords!L152</x:f>
        <x:v>47.9936</x:v>
      </x:c>
      <x:c r="K113" s="10" t="n">
        <x:f>RawRecords!M152</x:f>
        <x:v>41.072</x:v>
      </x:c>
      <x:c r="L113" s="1" t="n">
        <x:v>67</x:v>
      </x:c>
      <x:c r="M113" s="1" t="n">
        <x:v>152</x:v>
      </x:c>
    </x:row>
    <x:row r="114" ht="23" customHeight="1">
      <x:c r="A114" s="1" t="n">
        <x:v>1</x:v>
      </x:c>
      <x:c r="B114" s="1" t="str">
        <x:v>Standard</x:v>
      </x:c>
      <x:c r="C114" s="9" t="n">
        <x:f>RawRecords!A153</x:f>
        <x:v>46246.486656712965</x:v>
      </x:c>
      <x:c r="D114" s="10" t="n">
        <x:f>RawRecords!F153</x:f>
        <x:v>8.9006</x:v>
      </x:c>
      <x:c r="E114" s="10" t="n">
        <x:f>RawRecords!G153</x:f>
        <x:v>2529.8873</x:v>
      </x:c>
      <x:c r="F114" s="10" t="n">
        <x:f>RawRecords!H153</x:f>
        <x:v>38.7416</x:v>
      </x:c>
      <x:c r="G114" s="10" t="str">
        <x:f>RawRecords!I153</x:f>
        <x:v>N/A (Bypassed)</x:v>
      </x:c>
      <x:c r="H114" s="10" t="str">
        <x:f>RawRecords!J153</x:f>
        <x:v>N/A (Bypassed)</x:v>
      </x:c>
      <x:c r="I114" s="10" t="n">
        <x:f>RawRecords!K153</x:f>
        <x:v>2529.8873</x:v>
      </x:c>
      <x:c r="J114" s="10" t="n">
        <x:f>RawRecords!L153</x:f>
        <x:v>47.6422</x:v>
      </x:c>
      <x:c r="K114" s="10" t="n">
        <x:f>RawRecords!M153</x:f>
        <x:v>39.4573</x:v>
      </x:c>
      <x:c r="L114" s="1" t="n">
        <x:v>68</x:v>
      </x:c>
      <x:c r="M114" s="1" t="n">
        <x:v>153</x:v>
      </x:c>
    </x:row>
    <x:row r="115" ht="23" customHeight="1">
      <x:c r="A115" s="1" t="n">
        <x:v>1</x:v>
      </x:c>
      <x:c r="B115" s="1" t="str">
        <x:v>Standard</x:v>
      </x:c>
      <x:c r="C115" s="9" t="n">
        <x:f>RawRecords!A154</x:f>
        <x:v>46246.48657704861</x:v>
      </x:c>
      <x:c r="D115" s="10" t="n">
        <x:f>RawRecords!F154</x:f>
        <x:v>11.4863</x:v>
      </x:c>
      <x:c r="E115" s="10" t="n">
        <x:f>RawRecords!G154</x:f>
        <x:v>2969.8913</x:v>
      </x:c>
      <x:c r="F115" s="10" t="n">
        <x:f>RawRecords!H154</x:f>
        <x:v>38.5436</x:v>
      </x:c>
      <x:c r="G115" s="10" t="str">
        <x:f>RawRecords!I154</x:f>
        <x:v>N/A (Bypassed)</x:v>
      </x:c>
      <x:c r="H115" s="10" t="str">
        <x:f>RawRecords!J154</x:f>
        <x:v>N/A (Bypassed)</x:v>
      </x:c>
      <x:c r="I115" s="10" t="n">
        <x:f>RawRecords!K154</x:f>
        <x:v>2969.8913</x:v>
      </x:c>
      <x:c r="J115" s="10" t="n">
        <x:f>RawRecords!L154</x:f>
        <x:v>50.0299</x:v>
      </x:c>
      <x:c r="K115" s="10" t="n">
        <x:f>RawRecords!M154</x:f>
        <x:v>43.0625</x:v>
      </x:c>
      <x:c r="L115" s="1" t="n">
        <x:v>69</x:v>
      </x:c>
      <x:c r="M115" s="1" t="n">
        <x:v>154</x:v>
      </x:c>
    </x:row>
    <x:row r="116" ht="23" customHeight="1">
      <x:c r="A116" s="1" t="n">
        <x:v>1</x:v>
      </x:c>
      <x:c r="B116" s="1" t="str">
        <x:v>Standard</x:v>
      </x:c>
      <x:c r="C116" s="9" t="n">
        <x:f>RawRecords!A155</x:f>
        <x:v>46246.48649638889</x:v>
      </x:c>
      <x:c r="D116" s="10" t="n">
        <x:f>RawRecords!F155</x:f>
        <x:v>12.2331</x:v>
      </x:c>
      <x:c r="E116" s="10" t="n">
        <x:f>RawRecords!G155</x:f>
        <x:v>3078.7303</x:v>
      </x:c>
      <x:c r="F116" s="10" t="n">
        <x:f>RawRecords!H155</x:f>
        <x:v>37.4554</x:v>
      </x:c>
      <x:c r="G116" s="10" t="str">
        <x:f>RawRecords!I155</x:f>
        <x:v>N/A (Bypassed)</x:v>
      </x:c>
      <x:c r="H116" s="10" t="str">
        <x:f>RawRecords!J155</x:f>
        <x:v>N/A (Bypassed)</x:v>
      </x:c>
      <x:c r="I116" s="10" t="n">
        <x:f>RawRecords!K155</x:f>
        <x:v>3078.7303</x:v>
      </x:c>
      <x:c r="J116" s="10" t="n">
        <x:f>RawRecords!L155</x:f>
        <x:v>49.6885</x:v>
      </x:c>
      <x:c r="K116" s="10" t="n">
        <x:f>RawRecords!M155</x:f>
        <x:v>42.2082</x:v>
      </x:c>
      <x:c r="L116" s="1" t="n">
        <x:v>70</x:v>
      </x:c>
      <x:c r="M116" s="1" t="n">
        <x:v>155</x:v>
      </x:c>
    </x:row>
    <x:row r="117" ht="23" customHeight="1">
      <x:c r="A117" s="1" t="n">
        <x:v>1</x:v>
      </x:c>
      <x:c r="B117" s="1" t="str">
        <x:v>Standard</x:v>
      </x:c>
      <x:c r="C117" s="9" t="n">
        <x:f>RawRecords!A156</x:f>
        <x:v>46246.486402291666</x:v>
      </x:c>
      <x:c r="D117" s="10" t="n">
        <x:f>RawRecords!F156</x:f>
        <x:v>10.3778</x:v>
      </x:c>
      <x:c r="E117" s="10" t="n">
        <x:f>RawRecords!G156</x:f>
        <x:v>3849.3531</x:v>
      </x:c>
      <x:c r="F117" s="10" t="n">
        <x:f>RawRecords!H156</x:f>
        <x:v>39.0423</x:v>
      </x:c>
      <x:c r="G117" s="10" t="str">
        <x:f>RawRecords!I156</x:f>
        <x:v>N/A (Bypassed)</x:v>
      </x:c>
      <x:c r="H117" s="10" t="str">
        <x:f>RawRecords!J156</x:f>
        <x:v>N/A (Bypassed)</x:v>
      </x:c>
      <x:c r="I117" s="10" t="n">
        <x:f>RawRecords!K156</x:f>
        <x:v>3849.3531</x:v>
      </x:c>
      <x:c r="J117" s="10" t="n">
        <x:f>RawRecords!L156</x:f>
        <x:v>49.4201</x:v>
      </x:c>
      <x:c r="K117" s="10" t="n">
        <x:f>RawRecords!M156</x:f>
        <x:v>42.6802</x:v>
      </x:c>
      <x:c r="L117" s="1" t="n">
        <x:v>71</x:v>
      </x:c>
      <x:c r="M117" s="1" t="n">
        <x:v>156</x:v>
      </x:c>
    </x:row>
    <x:row r="118" ht="23" customHeight="1">
      <x:c r="A118" s="1" t="n">
        <x:v>1</x:v>
      </x:c>
      <x:c r="B118" s="1" t="str">
        <x:v>Standard</x:v>
      </x:c>
      <x:c r="C118" s="9" t="n">
        <x:f>RawRecords!A157</x:f>
        <x:v>46246.48627905092</x:v>
      </x:c>
      <x:c r="D118" s="10" t="n">
        <x:f>RawRecords!F157</x:f>
        <x:v>12.138</x:v>
      </x:c>
      <x:c r="E118" s="10" t="n">
        <x:f>RawRecords!G157</x:f>
        <x:v>4675.6054</x:v>
      </x:c>
      <x:c r="F118" s="10" t="n">
        <x:f>RawRecords!H157</x:f>
        <x:v>39.7235</x:v>
      </x:c>
      <x:c r="G118" s="10" t="str">
        <x:f>RawRecords!I157</x:f>
        <x:v>N/A (Bypassed)</x:v>
      </x:c>
      <x:c r="H118" s="10" t="str">
        <x:f>RawRecords!J157</x:f>
        <x:v>N/A (Bypassed)</x:v>
      </x:c>
      <x:c r="I118" s="10" t="n">
        <x:f>RawRecords!K157</x:f>
        <x:v>4675.6054</x:v>
      </x:c>
      <x:c r="J118" s="10" t="n">
        <x:f>RawRecords!L157</x:f>
        <x:v>51.8615</x:v>
      </x:c>
      <x:c r="K118" s="10" t="n">
        <x:f>RawRecords!M157</x:f>
        <x:v>42.6523</x:v>
      </x:c>
      <x:c r="L118" s="1" t="n">
        <x:v>72</x:v>
      </x:c>
      <x:c r="M118" s="1" t="n">
        <x:v>157</x:v>
      </x:c>
    </x:row>
    <x:row r="119" ht="23" customHeight="1">
      <x:c r="A119" s="1" t="n">
        <x:v>1</x:v>
      </x:c>
      <x:c r="B119" s="1" t="str">
        <x:v>Standard</x:v>
      </x:c>
      <x:c r="C119" s="9" t="n">
        <x:f>RawRecords!A158</x:f>
        <x:v>46246.48614581018</x:v>
      </x:c>
      <x:c r="D119" s="10" t="n">
        <x:f>RawRecords!F158</x:f>
        <x:v>12.0159</x:v>
      </x:c>
      <x:c r="E119" s="10" t="n">
        <x:f>RawRecords!G158</x:f>
        <x:v>2970.4942</x:v>
      </x:c>
      <x:c r="F119" s="10" t="n">
        <x:f>RawRecords!H158</x:f>
        <x:v>35.5606</x:v>
      </x:c>
      <x:c r="G119" s="10" t="str">
        <x:f>RawRecords!I158</x:f>
        <x:v>N/A (Bypassed)</x:v>
      </x:c>
      <x:c r="H119" s="10" t="str">
        <x:f>RawRecords!J158</x:f>
        <x:v>N/A (Bypassed)</x:v>
      </x:c>
      <x:c r="I119" s="10" t="n">
        <x:f>RawRecords!K158</x:f>
        <x:v>2970.4942</x:v>
      </x:c>
      <x:c r="J119" s="10" t="n">
        <x:f>RawRecords!L158</x:f>
        <x:v>47.5765</x:v>
      </x:c>
      <x:c r="K119" s="10" t="n">
        <x:f>RawRecords!M158</x:f>
        <x:v>40.3775</x:v>
      </x:c>
      <x:c r="L119" s="1" t="n">
        <x:v>73</x:v>
      </x:c>
      <x:c r="M119" s="1" t="n">
        <x:v>158</x:v>
      </x:c>
    </x:row>
    <x:row r="120" ht="23" customHeight="1">
      <x:c r="A120" s="1" t="n">
        <x:v>1</x:v>
      </x:c>
      <x:c r="B120" s="1" t="str">
        <x:v>Standard</x:v>
      </x:c>
      <x:c r="C120" s="9" t="n">
        <x:f>RawRecords!A159</x:f>
        <x:v>46246.48605634259</x:v>
      </x:c>
      <x:c r="D120" s="10" t="n">
        <x:f>RawRecords!F159</x:f>
        <x:v>10.6188</x:v>
      </x:c>
      <x:c r="E120" s="10" t="n">
        <x:f>RawRecords!G159</x:f>
        <x:v>2475.7303</x:v>
      </x:c>
      <x:c r="F120" s="10" t="n">
        <x:f>RawRecords!H159</x:f>
        <x:v>46.9432</x:v>
      </x:c>
      <x:c r="G120" s="10" t="str">
        <x:f>RawRecords!I159</x:f>
        <x:v>N/A (Bypassed)</x:v>
      </x:c>
      <x:c r="H120" s="10" t="str">
        <x:f>RawRecords!J159</x:f>
        <x:v>N/A (Bypassed)</x:v>
      </x:c>
      <x:c r="I120" s="10" t="n">
        <x:f>RawRecords!K159</x:f>
        <x:v>2475.7303</x:v>
      </x:c>
      <x:c r="J120" s="10" t="n">
        <x:f>RawRecords!L159</x:f>
        <x:v>57.562</x:v>
      </x:c>
      <x:c r="K120" s="10" t="n">
        <x:f>RawRecords!M159</x:f>
        <x:v>49.6687</x:v>
      </x:c>
      <x:c r="L120" s="1" t="n">
        <x:v>74</x:v>
      </x:c>
      <x:c r="M120" s="1" t="n">
        <x:v>159</x:v>
      </x:c>
    </x:row>
    <x:row r="121" ht="23" customHeight="1">
      <x:c r="A121" s="1" t="n">
        <x:v>1</x:v>
      </x:c>
      <x:c r="B121" s="1" t="str">
        <x:v>Standard</x:v>
      </x:c>
      <x:c r="C121" s="9" t="n">
        <x:f>RawRecords!A160</x:f>
        <x:v>46246.48594293982</x:v>
      </x:c>
      <x:c r="D121" s="10" t="n">
        <x:f>RawRecords!F160</x:f>
        <x:v>12.9711</x:v>
      </x:c>
      <x:c r="E121" s="10" t="n">
        <x:f>RawRecords!G160</x:f>
        <x:v>1980.3323</x:v>
      </x:c>
      <x:c r="F121" s="10" t="n">
        <x:f>RawRecords!H160</x:f>
        <x:v>37.6548</x:v>
      </x:c>
      <x:c r="G121" s="10" t="str">
        <x:f>RawRecords!I160</x:f>
        <x:v>N/A (Bypassed)</x:v>
      </x:c>
      <x:c r="H121" s="10" t="str">
        <x:f>RawRecords!J160</x:f>
        <x:v>N/A (Bypassed)</x:v>
      </x:c>
      <x:c r="I121" s="10" t="n">
        <x:f>RawRecords!K160</x:f>
        <x:v>1980.3323</x:v>
      </x:c>
      <x:c r="J121" s="10" t="n">
        <x:f>RawRecords!L160</x:f>
        <x:v>50.6259</x:v>
      </x:c>
      <x:c r="K121" s="10" t="n">
        <x:f>RawRecords!M160</x:f>
        <x:v>42.7079</x:v>
      </x:c>
      <x:c r="L121" s="1" t="n">
        <x:v>75</x:v>
      </x:c>
      <x:c r="M121" s="1" t="n">
        <x:v>160</x:v>
      </x:c>
    </x:row>
    <x:row r="122" ht="23" customHeight="1">
      <x:c r="A122" s="1" t="n">
        <x:v>1</x:v>
      </x:c>
      <x:c r="B122" s="1" t="str">
        <x:v>Standard</x:v>
      </x:c>
      <x:c r="C122" s="9" t="n">
        <x:f>RawRecords!A161</x:f>
        <x:v>46246.48586699074</x:v>
      </x:c>
      <x:c r="D122" s="10" t="n">
        <x:f>RawRecords!F161</x:f>
        <x:v>11.3097</x:v>
      </x:c>
      <x:c r="E122" s="10" t="n">
        <x:f>RawRecords!G161</x:f>
        <x:v>1871.0105</x:v>
      </x:c>
      <x:c r="F122" s="10" t="n">
        <x:f>RawRecords!H161</x:f>
        <x:v>40.0795</x:v>
      </x:c>
      <x:c r="G122" s="10" t="str">
        <x:f>RawRecords!I161</x:f>
        <x:v>N/A (Bypassed)</x:v>
      </x:c>
      <x:c r="H122" s="10" t="str">
        <x:f>RawRecords!J161</x:f>
        <x:v>N/A (Bypassed)</x:v>
      </x:c>
      <x:c r="I122" s="10" t="n">
        <x:f>RawRecords!K161</x:f>
        <x:v>1871.0105</x:v>
      </x:c>
      <x:c r="J122" s="10" t="n">
        <x:f>RawRecords!L161</x:f>
        <x:v>51.3892</x:v>
      </x:c>
      <x:c r="K122" s="10" t="n">
        <x:f>RawRecords!M161</x:f>
        <x:v>43.1425</x:v>
      </x:c>
      <x:c r="L122" s="1" t="n">
        <x:v>76</x:v>
      </x:c>
      <x:c r="M122" s="1" t="n">
        <x:v>161</x:v>
      </x:c>
    </x:row>
    <x:row r="123" ht="23" customHeight="1">
      <x:c r="A123" s="1" t="n">
        <x:v>1</x:v>
      </x:c>
      <x:c r="B123" s="1" t="str">
        <x:v>Standard</x:v>
      </x:c>
      <x:c r="C123" s="9" t="n">
        <x:f>RawRecords!A162</x:f>
        <x:v>46246.48579021991</x:v>
      </x:c>
      <x:c r="D123" s="10" t="n">
        <x:f>RawRecords!F162</x:f>
        <x:v>34.3803</x:v>
      </x:c>
      <x:c r="E123" s="10" t="n">
        <x:f>RawRecords!G162</x:f>
        <x:v>6875.1125</x:v>
      </x:c>
      <x:c r="F123" s="10" t="n">
        <x:f>RawRecords!H162</x:f>
        <x:v>44.6387</x:v>
      </x:c>
      <x:c r="G123" s="10" t="str">
        <x:f>RawRecords!I162</x:f>
        <x:v>N/A (Bypassed)</x:v>
      </x:c>
      <x:c r="H123" s="10" t="str">
        <x:f>RawRecords!J162</x:f>
        <x:v>N/A (Bypassed)</x:v>
      </x:c>
      <x:c r="I123" s="10" t="n">
        <x:f>RawRecords!K162</x:f>
        <x:v>6875.1125</x:v>
      </x:c>
      <x:c r="J123" s="10" t="n">
        <x:f>RawRecords!L162</x:f>
        <x:v>79.019</x:v>
      </x:c>
      <x:c r="K123" s="10" t="n">
        <x:f>RawRecords!M162</x:f>
        <x:v>71.3019</x:v>
      </x:c>
      <x:c r="L123" s="1" t="n">
        <x:v>77</x:v>
      </x:c>
      <x:c r="M123" s="1" t="n">
        <x:v>162</x:v>
      </x:c>
    </x:row>
    <x:row r="124" ht="23" customHeight="1">
      <x:c r="A124" s="1" t="n">
        <x:v>1</x:v>
      </x:c>
      <x:c r="B124" s="1" t="str">
        <x:v>Standard</x:v>
      </x:c>
      <x:c r="C124" s="9" t="n">
        <x:f>RawRecords!A163</x:f>
        <x:v>46246.48565957176</x:v>
      </x:c>
      <x:c r="D124" s="10" t="n">
        <x:f>RawRecords!F163</x:f>
        <x:v>38.8161</x:v>
      </x:c>
      <x:c r="E124" s="10" t="n">
        <x:f>RawRecords!G163</x:f>
        <x:v>1869.7062</x:v>
      </x:c>
      <x:c r="F124" s="10" t="n">
        <x:f>RawRecords!H163</x:f>
        <x:v>71.6724</x:v>
      </x:c>
      <x:c r="G124" s="10" t="str">
        <x:f>RawRecords!I163</x:f>
        <x:v>N/A (Bypassed)</x:v>
      </x:c>
      <x:c r="H124" s="10" t="str">
        <x:f>RawRecords!J163</x:f>
        <x:v>N/A (Bypassed)</x:v>
      </x:c>
      <x:c r="I124" s="10" t="n">
        <x:f>RawRecords!K163</x:f>
        <x:v>1869.7062</x:v>
      </x:c>
      <x:c r="J124" s="10" t="n">
        <x:f>RawRecords!L163</x:f>
        <x:v>110.4885</x:v>
      </x:c>
      <x:c r="K124" s="10" t="n">
        <x:f>RawRecords!M163</x:f>
        <x:v>74.7147</x:v>
      </x:c>
      <x:c r="L124" s="1" t="n">
        <x:v>78</x:v>
      </x:c>
      <x:c r="M124" s="1" t="n">
        <x:v>163</x:v>
      </x:c>
    </x:row>
    <x:row r="125" ht="23" customHeight="1">
      <x:c r="A125" s="1" t="n">
        <x:v>1</x:v>
      </x:c>
      <x:c r="B125" s="1" t="str">
        <x:v>Standard</x:v>
      </x:c>
      <x:c r="C125" s="9" t="n">
        <x:f>RawRecords!A164</x:f>
        <x:v>46246.485580092594</x:v>
      </x:c>
      <x:c r="D125" s="10" t="n">
        <x:f>RawRecords!F164</x:f>
        <x:v>12.9854</x:v>
      </x:c>
      <x:c r="E125" s="10" t="n">
        <x:f>RawRecords!G164</x:f>
        <x:v>1705.4578</x:v>
      </x:c>
      <x:c r="F125" s="10" t="n">
        <x:f>RawRecords!H164</x:f>
        <x:v>38.844</x:v>
      </x:c>
      <x:c r="G125" s="10" t="str">
        <x:f>RawRecords!I164</x:f>
        <x:v>N/A (Bypassed)</x:v>
      </x:c>
      <x:c r="H125" s="10" t="str">
        <x:f>RawRecords!J164</x:f>
        <x:v>N/A (Bypassed)</x:v>
      </x:c>
      <x:c r="I125" s="10" t="n">
        <x:f>RawRecords!K164</x:f>
        <x:v>1705.4578</x:v>
      </x:c>
      <x:c r="J125" s="10" t="n">
        <x:f>RawRecords!L164</x:f>
        <x:v>51.8294</x:v>
      </x:c>
      <x:c r="K125" s="10" t="n">
        <x:f>RawRecords!M164</x:f>
        <x:v>41.8705</x:v>
      </x:c>
      <x:c r="L125" s="1" t="n">
        <x:v>79</x:v>
      </x:c>
      <x:c r="M125" s="1" t="n">
        <x:v>164</x:v>
      </x:c>
    </x:row>
    <x:row r="126" ht="23" customHeight="1">
      <x:c r="A126" s="1" t="n">
        <x:v>1</x:v>
      </x:c>
      <x:c r="B126" s="1" t="str">
        <x:v>Standard</x:v>
      </x:c>
      <x:c r="C126" s="9" t="n">
        <x:f>RawRecords!A165</x:f>
        <x:v>46246.48550451389</x:v>
      </x:c>
      <x:c r="D126" s="10" t="n">
        <x:f>RawRecords!F165</x:f>
        <x:v>10.0002</x:v>
      </x:c>
      <x:c r="E126" s="10" t="n">
        <x:f>RawRecords!G165</x:f>
        <x:v>1924.6039</x:v>
      </x:c>
      <x:c r="F126" s="10" t="n">
        <x:f>RawRecords!H165</x:f>
        <x:v>37.2126</x:v>
      </x:c>
      <x:c r="G126" s="10" t="str">
        <x:f>RawRecords!I165</x:f>
        <x:v>N/A (Bypassed)</x:v>
      </x:c>
      <x:c r="H126" s="10" t="str">
        <x:f>RawRecords!J165</x:f>
        <x:v>N/A (Bypassed)</x:v>
      </x:c>
      <x:c r="I126" s="10" t="n">
        <x:f>RawRecords!K165</x:f>
        <x:v>1924.6039</x:v>
      </x:c>
      <x:c r="J126" s="10" t="n">
        <x:f>RawRecords!L165</x:f>
        <x:v>47.2128</x:v>
      </x:c>
      <x:c r="K126" s="10" t="n">
        <x:f>RawRecords!M165</x:f>
        <x:v>39.7069</x:v>
      </x:c>
      <x:c r="L126" s="1" t="n">
        <x:v>80</x:v>
      </x:c>
      <x:c r="M126" s="1" t="n">
        <x:v>165</x:v>
      </x:c>
    </x:row>
    <x:row r="127" ht="23" customHeight="1">
      <x:c r="A127" s="1" t="n">
        <x:v>1</x:v>
      </x:c>
      <x:c r="B127" s="1" t="str">
        <x:v>Standard</x:v>
      </x:c>
      <x:c r="C127" s="9" t="n">
        <x:f>RawRecords!A166</x:f>
        <x:v>46246.48542660879</x:v>
      </x:c>
      <x:c r="D127" s="10" t="n">
        <x:f>RawRecords!F166</x:f>
        <x:v>12.1577</x:v>
      </x:c>
      <x:c r="E127" s="10" t="n">
        <x:f>RawRecords!G166</x:f>
        <x:v>1869.9447</x:v>
      </x:c>
      <x:c r="F127" s="10" t="n">
        <x:f>RawRecords!H166</x:f>
        <x:v>38.7513</x:v>
      </x:c>
      <x:c r="G127" s="10" t="str">
        <x:f>RawRecords!I166</x:f>
        <x:v>N/A (Bypassed)</x:v>
      </x:c>
      <x:c r="H127" s="10" t="str">
        <x:f>RawRecords!J166</x:f>
        <x:v>N/A (Bypassed)</x:v>
      </x:c>
      <x:c r="I127" s="10" t="n">
        <x:f>RawRecords!K166</x:f>
        <x:v>1869.9447</x:v>
      </x:c>
      <x:c r="J127" s="10" t="n">
        <x:f>RawRecords!L166</x:f>
        <x:v>50.909</x:v>
      </x:c>
      <x:c r="K127" s="10" t="n">
        <x:f>RawRecords!M166</x:f>
        <x:v>42.6488</x:v>
      </x:c>
      <x:c r="L127" s="1" t="n">
        <x:v>81</x:v>
      </x:c>
      <x:c r="M127" s="1" t="n">
        <x:v>166</x:v>
      </x:c>
    </x:row>
    <x:row r="128" ht="23" customHeight="1">
      <x:c r="A128" s="1" t="n">
        <x:v>1</x:v>
      </x:c>
      <x:c r="B128" s="1" t="str">
        <x:v>Standard</x:v>
      </x:c>
      <x:c r="C128" s="9" t="n">
        <x:f>RawRecords!A167</x:f>
        <x:v>46246.48535113426</x:v>
      </x:c>
      <x:c r="D128" s="10" t="n">
        <x:f>RawRecords!F167</x:f>
        <x:v>11.6836</x:v>
      </x:c>
      <x:c r="E128" s="10" t="n">
        <x:f>RawRecords!G167</x:f>
        <x:v>1760.1907</x:v>
      </x:c>
      <x:c r="F128" s="10" t="n">
        <x:f>RawRecords!H167</x:f>
        <x:v>37.8135</x:v>
      </x:c>
      <x:c r="G128" s="10" t="str">
        <x:f>RawRecords!I167</x:f>
        <x:v>N/A (Bypassed)</x:v>
      </x:c>
      <x:c r="H128" s="10" t="str">
        <x:f>RawRecords!J167</x:f>
        <x:v>N/A (Bypassed)</x:v>
      </x:c>
      <x:c r="I128" s="10" t="n">
        <x:f>RawRecords!K167</x:f>
        <x:v>1760.1907</x:v>
      </x:c>
      <x:c r="J128" s="10" t="n">
        <x:f>RawRecords!L167</x:f>
        <x:v>49.4971</x:v>
      </x:c>
      <x:c r="K128" s="10" t="n">
        <x:f>RawRecords!M167</x:f>
        <x:v>40.521</x:v>
      </x:c>
      <x:c r="L128" s="1" t="n">
        <x:v>82</x:v>
      </x:c>
      <x:c r="M128" s="1" t="n">
        <x:v>167</x:v>
      </x:c>
    </x:row>
    <x:row r="129" ht="23" customHeight="1">
      <x:c r="A129" s="1" t="n">
        <x:v>1</x:v>
      </x:c>
      <x:c r="B129" s="1" t="str">
        <x:v>Standard</x:v>
      </x:c>
      <x:c r="C129" s="9" t="n">
        <x:f>RawRecords!A168</x:f>
        <x:v>46246.48527787037</x:v>
      </x:c>
      <x:c r="D129" s="10" t="n">
        <x:f>RawRecords!F168</x:f>
        <x:v>10.225</x:v>
      </x:c>
      <x:c r="E129" s="10" t="n">
        <x:f>RawRecords!G168</x:f>
        <x:v>2309.8556</x:v>
      </x:c>
      <x:c r="F129" s="10" t="n">
        <x:f>RawRecords!H168</x:f>
        <x:v>38.4373</x:v>
      </x:c>
      <x:c r="G129" s="10" t="str">
        <x:f>RawRecords!I168</x:f>
        <x:v>N/A (Bypassed)</x:v>
      </x:c>
      <x:c r="H129" s="10" t="str">
        <x:f>RawRecords!J168</x:f>
        <x:v>N/A (Bypassed)</x:v>
      </x:c>
      <x:c r="I129" s="10" t="n">
        <x:f>RawRecords!K168</x:f>
        <x:v>2309.8556</x:v>
      </x:c>
      <x:c r="J129" s="10" t="n">
        <x:f>RawRecords!L168</x:f>
        <x:v>48.6623</x:v>
      </x:c>
      <x:c r="K129" s="10" t="n">
        <x:f>RawRecords!M168</x:f>
        <x:v>41.3052</x:v>
      </x:c>
      <x:c r="L129" s="1" t="n">
        <x:v>83</x:v>
      </x:c>
      <x:c r="M129" s="1" t="n">
        <x:v>168</x:v>
      </x:c>
    </x:row>
    <x:row r="130" ht="23" customHeight="1">
      <x:c r="A130" s="1" t="n">
        <x:v>1</x:v>
      </x:c>
      <x:c r="B130" s="1" t="str">
        <x:v>Standard</x:v>
      </x:c>
      <x:c r="C130" s="9" t="n">
        <x:f>RawRecords!A169</x:f>
        <x:v>46246.485178194445</x:v>
      </x:c>
      <x:c r="D130" s="10" t="n">
        <x:f>RawRecords!F169</x:f>
        <x:v>11.4218</x:v>
      </x:c>
      <x:c r="E130" s="10" t="n">
        <x:f>RawRecords!G169</x:f>
        <x:v>2089.8666</x:v>
      </x:c>
      <x:c r="F130" s="10" t="n">
        <x:f>RawRecords!H169</x:f>
        <x:v>39.1333</x:v>
      </x:c>
      <x:c r="G130" s="10" t="str">
        <x:f>RawRecords!I169</x:f>
        <x:v>N/A (Bypassed)</x:v>
      </x:c>
      <x:c r="H130" s="10" t="str">
        <x:f>RawRecords!J169</x:f>
        <x:v>N/A (Bypassed)</x:v>
      </x:c>
      <x:c r="I130" s="10" t="n">
        <x:f>RawRecords!K169</x:f>
        <x:v>2089.8666</x:v>
      </x:c>
      <x:c r="J130" s="10" t="n">
        <x:f>RawRecords!L169</x:f>
        <x:v>50.5551</x:v>
      </x:c>
      <x:c r="K130" s="10" t="n">
        <x:f>RawRecords!M169</x:f>
        <x:v>43.9332</x:v>
      </x:c>
      <x:c r="L130" s="1" t="n">
        <x:v>84</x:v>
      </x:c>
      <x:c r="M130" s="1" t="n">
        <x:v>169</x:v>
      </x:c>
    </x:row>
    <x:row r="131" ht="23" customHeight="1">
      <x:c r="A131" s="1" t="n">
        <x:v>1</x:v>
      </x:c>
      <x:c r="B131" s="1" t="str">
        <x:v>Standard</x:v>
      </x:c>
      <x:c r="C131" s="9" t="n">
        <x:f>RawRecords!A170</x:f>
        <x:v>46246.48508983797</x:v>
      </x:c>
      <x:c r="D131" s="10" t="n">
        <x:f>RawRecords!F170</x:f>
        <x:v>12.1463</x:v>
      </x:c>
      <x:c r="E131" s="10" t="n">
        <x:f>RawRecords!G170</x:f>
        <x:v>5499.5316</x:v>
      </x:c>
      <x:c r="F131" s="10" t="n">
        <x:f>RawRecords!H170</x:f>
        <x:v>38.4418</x:v>
      </x:c>
      <x:c r="G131" s="10" t="str">
        <x:f>RawRecords!I170</x:f>
        <x:v>N/A (Bypassed)</x:v>
      </x:c>
      <x:c r="H131" s="10" t="str">
        <x:f>RawRecords!J170</x:f>
        <x:v>N/A (Bypassed)</x:v>
      </x:c>
      <x:c r="I131" s="10" t="n">
        <x:f>RawRecords!K170</x:f>
        <x:v>5499.5316</x:v>
      </x:c>
      <x:c r="J131" s="10" t="n">
        <x:f>RawRecords!L170</x:f>
        <x:v>50.5881</x:v>
      </x:c>
      <x:c r="K131" s="10" t="n">
        <x:f>RawRecords!M170</x:f>
        <x:v>43.4212</x:v>
      </x:c>
      <x:c r="L131" s="1" t="n">
        <x:v>85</x:v>
      </x:c>
      <x:c r="M131" s="1" t="n">
        <x:v>170</x:v>
      </x:c>
    </x:row>
    <x:row r="132" ht="23" customHeight="1">
      <x:c r="A132" s="1" t="n">
        <x:v>1</x:v>
      </x:c>
      <x:c r="B132" s="1" t="str">
        <x:v>Standard</x:v>
      </x:c>
      <x:c r="C132" s="9" t="n">
        <x:f>RawRecords!A171</x:f>
        <x:v>46246.48494283565</x:v>
      </x:c>
      <x:c r="D132" s="10" t="n">
        <x:f>RawRecords!F171</x:f>
        <x:v>15.0689</x:v>
      </x:c>
      <x:c r="E132" s="10" t="n">
        <x:f>RawRecords!G171</x:f>
        <x:v>1814.9814</x:v>
      </x:c>
      <x:c r="F132" s="10" t="n">
        <x:f>RawRecords!H171</x:f>
        <x:v>37.7945</x:v>
      </x:c>
      <x:c r="G132" s="10" t="str">
        <x:f>RawRecords!I171</x:f>
        <x:v>N/A (Bypassed)</x:v>
      </x:c>
      <x:c r="H132" s="10" t="str">
        <x:f>RawRecords!J171</x:f>
        <x:v>N/A (Bypassed)</x:v>
      </x:c>
      <x:c r="I132" s="10" t="n">
        <x:f>RawRecords!K171</x:f>
        <x:v>1814.9814</x:v>
      </x:c>
      <x:c r="J132" s="10" t="n">
        <x:f>RawRecords!L171</x:f>
        <x:v>52.8634</x:v>
      </x:c>
      <x:c r="K132" s="10" t="n">
        <x:f>RawRecords!M171</x:f>
        <x:v>38.4465</x:v>
      </x:c>
      <x:c r="L132" s="1" t="n">
        <x:v>86</x:v>
      </x:c>
      <x:c r="M132" s="1" t="n">
        <x:v>171</x:v>
      </x:c>
    </x:row>
    <x:row r="133" ht="23" customHeight="1">
      <x:c r="A133" s="1" t="n">
        <x:v>2</x:v>
      </x:c>
      <x:c r="B133" s="1" t="str">
        <x:v>Standard</x:v>
      </x:c>
      <x:c r="C133" s="9" t="n">
        <x:f>RawRecords!A328</x:f>
        <x:v>46247.44608887732</x:v>
      </x:c>
      <x:c r="D133" s="10" t="n">
        <x:f>RawRecords!F328</x:f>
        <x:v>13.8016</x:v>
      </x:c>
      <x:c r="E133" s="10" t="n">
        <x:f>RawRecords!G328</x:f>
        <x:v>1814.9107</x:v>
      </x:c>
      <x:c r="F133" s="10" t="n">
        <x:f>RawRecords!H328</x:f>
        <x:v>37.9995</x:v>
      </x:c>
      <x:c r="G133" s="10" t="str">
        <x:f>RawRecords!I328</x:f>
        <x:v>N/A (Bypassed)</x:v>
      </x:c>
      <x:c r="H133" s="10" t="str">
        <x:f>RawRecords!J328</x:f>
        <x:v>N/A (Bypassed)</x:v>
      </x:c>
      <x:c r="I133" s="10" t="n">
        <x:f>RawRecords!K328</x:f>
        <x:v>1814.9107</x:v>
      </x:c>
      <x:c r="J133" s="10" t="n">
        <x:f>RawRecords!L328</x:f>
        <x:v>51.8011</x:v>
      </x:c>
      <x:c r="K133" s="10" t="n">
        <x:f>RawRecords!M328</x:f>
        <x:v>44.0573</x:v>
      </x:c>
      <x:c r="L133" s="1" t="n">
        <x:v>12</x:v>
      </x:c>
      <x:c r="M133" s="1" t="n">
        <x:v>328</x:v>
      </x:c>
    </x:row>
    <x:row r="134" ht="23" customHeight="1">
      <x:c r="A134" s="1" t="n">
        <x:v>2</x:v>
      </x:c>
      <x:c r="B134" s="1" t="str">
        <x:v>Standard</x:v>
      </x:c>
      <x:c r="C134" s="9" t="n">
        <x:f>RawRecords!A329</x:f>
        <x:v>46247.446023807875</x:v>
      </x:c>
      <x:c r="D134" s="10" t="n">
        <x:f>RawRecords!F329</x:f>
        <x:v>12.8328</x:v>
      </x:c>
      <x:c r="E134" s="10" t="n">
        <x:f>RawRecords!G329</x:f>
        <x:v>3520.6674</x:v>
      </x:c>
      <x:c r="F134" s="10" t="n">
        <x:f>RawRecords!H329</x:f>
        <x:v>37.8661</x:v>
      </x:c>
      <x:c r="G134" s="10" t="str">
        <x:f>RawRecords!I329</x:f>
        <x:v>N/A (Bypassed)</x:v>
      </x:c>
      <x:c r="H134" s="10" t="str">
        <x:f>RawRecords!J329</x:f>
        <x:v>N/A (Bypassed)</x:v>
      </x:c>
      <x:c r="I134" s="10" t="n">
        <x:f>RawRecords!K329</x:f>
        <x:v>3520.6674</x:v>
      </x:c>
      <x:c r="J134" s="10" t="n">
        <x:f>RawRecords!L329</x:f>
        <x:v>50.6989</x:v>
      </x:c>
      <x:c r="K134" s="10" t="n">
        <x:f>RawRecords!M329</x:f>
        <x:v>41.2583</x:v>
      </x:c>
      <x:c r="L134" s="1" t="n">
        <x:v>13</x:v>
      </x:c>
      <x:c r="M134" s="1" t="n">
        <x:v>329</x:v>
      </x:c>
    </x:row>
    <x:row r="135" ht="23" customHeight="1">
      <x:c r="A135" s="1" t="n">
        <x:v>2</x:v>
      </x:c>
      <x:c r="B135" s="1" t="str">
        <x:v>Standard</x:v>
      </x:c>
      <x:c r="C135" s="9" t="n">
        <x:f>RawRecords!A330</x:f>
        <x:v>46247.44593224537</x:v>
      </x:c>
      <x:c r="D135" s="10" t="n">
        <x:f>RawRecords!F330</x:f>
        <x:v>37.7376</x:v>
      </x:c>
      <x:c r="E135" s="10" t="n">
        <x:f>RawRecords!G330</x:f>
        <x:v>1870.1299</x:v>
      </x:c>
      <x:c r="F135" s="10" t="n">
        <x:f>RawRecords!H330</x:f>
        <x:v>71.785</x:v>
      </x:c>
      <x:c r="G135" s="10" t="str">
        <x:f>RawRecords!I330</x:f>
        <x:v>N/A (Bypassed)</x:v>
      </x:c>
      <x:c r="H135" s="10" t="str">
        <x:f>RawRecords!J330</x:f>
        <x:v>N/A (Bypassed)</x:v>
      </x:c>
      <x:c r="I135" s="10" t="n">
        <x:f>RawRecords!K330</x:f>
        <x:v>1870.1299</x:v>
      </x:c>
      <x:c r="J135" s="10" t="n">
        <x:f>RawRecords!L330</x:f>
        <x:v>109.5226</x:v>
      </x:c>
      <x:c r="K135" s="10" t="n">
        <x:f>RawRecords!M330</x:f>
        <x:v>74.7357</x:v>
      </x:c>
      <x:c r="L135" s="1" t="n">
        <x:v>14</x:v>
      </x:c>
      <x:c r="M135" s="1" t="n">
        <x:v>330</x:v>
      </x:c>
    </x:row>
    <x:row r="136" ht="23" customHeight="1">
      <x:c r="A136" s="1" t="n">
        <x:v>2</x:v>
      </x:c>
      <x:c r="B136" s="1" t="str">
        <x:v>Standard</x:v>
      </x:c>
      <x:c r="C136" s="9" t="n">
        <x:f>RawRecords!A331</x:f>
        <x:v>46247.44585077546</x:v>
      </x:c>
      <x:c r="D136" s="10" t="n">
        <x:f>RawRecords!F331</x:f>
        <x:v>11.4263</x:v>
      </x:c>
      <x:c r="E136" s="10" t="n">
        <x:f>RawRecords!G331</x:f>
        <x:v>2859.1669</x:v>
      </x:c>
      <x:c r="F136" s="10" t="n">
        <x:f>RawRecords!H331</x:f>
        <x:v>39.3332</x:v>
      </x:c>
      <x:c r="G136" s="10" t="str">
        <x:f>RawRecords!I331</x:f>
        <x:v>N/A (Bypassed)</x:v>
      </x:c>
      <x:c r="H136" s="10" t="str">
        <x:f>RawRecords!J331</x:f>
        <x:v>N/A (Bypassed)</x:v>
      </x:c>
      <x:c r="I136" s="10" t="n">
        <x:f>RawRecords!K331</x:f>
        <x:v>2859.1669</x:v>
      </x:c>
      <x:c r="J136" s="10" t="n">
        <x:f>RawRecords!L331</x:f>
        <x:v>50.7595</x:v>
      </x:c>
      <x:c r="K136" s="10" t="n">
        <x:f>RawRecords!M331</x:f>
        <x:v>42.6239</x:v>
      </x:c>
      <x:c r="L136" s="1" t="n">
        <x:v>15</x:v>
      </x:c>
      <x:c r="M136" s="1" t="n">
        <x:v>331</x:v>
      </x:c>
    </x:row>
    <x:row r="137" ht="23" customHeight="1">
      <x:c r="A137" s="1" t="n">
        <x:v>2</x:v>
      </x:c>
      <x:c r="B137" s="1" t="str">
        <x:v>Standard</x:v>
      </x:c>
      <x:c r="C137" s="9" t="n">
        <x:f>RawRecords!A332</x:f>
        <x:v>46247.44574898148</x:v>
      </x:c>
      <x:c r="D137" s="10" t="n">
        <x:f>RawRecords!F332</x:f>
        <x:v>12.1086</x:v>
      </x:c>
      <x:c r="E137" s="10" t="n">
        <x:f>RawRecords!G332</x:f>
        <x:v>3795.3427</x:v>
      </x:c>
      <x:c r="F137" s="10" t="n">
        <x:f>RawRecords!H332</x:f>
        <x:v>40.6072</x:v>
      </x:c>
      <x:c r="G137" s="10" t="str">
        <x:f>RawRecords!I332</x:f>
        <x:v>N/A (Bypassed)</x:v>
      </x:c>
      <x:c r="H137" s="10" t="str">
        <x:f>RawRecords!J332</x:f>
        <x:v>N/A (Bypassed)</x:v>
      </x:c>
      <x:c r="I137" s="10" t="n">
        <x:f>RawRecords!K332</x:f>
        <x:v>3795.3427</x:v>
      </x:c>
      <x:c r="J137" s="10" t="n">
        <x:f>RawRecords!L332</x:f>
        <x:v>52.7158</x:v>
      </x:c>
      <x:c r="K137" s="10" t="n">
        <x:f>RawRecords!M332</x:f>
        <x:v>43.5288</x:v>
      </x:c>
      <x:c r="L137" s="1" t="n">
        <x:v>16</x:v>
      </x:c>
      <x:c r="M137" s="1" t="n">
        <x:v>332</x:v>
      </x:c>
    </x:row>
    <x:row r="138" ht="23" customHeight="1">
      <x:c r="A138" s="1" t="n">
        <x:v>2</x:v>
      </x:c>
      <x:c r="B138" s="1" t="str">
        <x:v>Standard</x:v>
      </x:c>
      <x:c r="C138" s="9" t="n">
        <x:f>RawRecords!A333</x:f>
        <x:v>46247.44563043982</x:v>
      </x:c>
      <x:c r="D138" s="10" t="n">
        <x:f>RawRecords!F333</x:f>
        <x:v>11.0271</x:v>
      </x:c>
      <x:c r="E138" s="10" t="n">
        <x:f>RawRecords!G333</x:f>
        <x:v>2310.1222</x:v>
      </x:c>
      <x:c r="F138" s="10" t="n">
        <x:f>RawRecords!H333</x:f>
        <x:v>88.9534</x:v>
      </x:c>
      <x:c r="G138" s="10" t="str">
        <x:f>RawRecords!I333</x:f>
        <x:v>N/A (Bypassed)</x:v>
      </x:c>
      <x:c r="H138" s="10" t="str">
        <x:f>RawRecords!J333</x:f>
        <x:v>N/A (Bypassed)</x:v>
      </x:c>
      <x:c r="I138" s="10" t="n">
        <x:f>RawRecords!K333</x:f>
        <x:v>2310.1222</x:v>
      </x:c>
      <x:c r="J138" s="10" t="n">
        <x:f>RawRecords!L333</x:f>
        <x:v>99.9805</x:v>
      </x:c>
      <x:c r="K138" s="10" t="n">
        <x:f>RawRecords!M333</x:f>
        <x:v>92.9367</x:v>
      </x:c>
      <x:c r="L138" s="1" t="n">
        <x:v>17</x:v>
      </x:c>
      <x:c r="M138" s="1" t="n">
        <x:v>333</x:v>
      </x:c>
    </x:row>
    <x:row r="139" ht="23" customHeight="1">
      <x:c r="A139" s="1" t="n">
        <x:v>2</x:v>
      </x:c>
      <x:c r="B139" s="1" t="str">
        <x:v>Standard</x:v>
      </x:c>
      <x:c r="C139" s="9" t="n">
        <x:f>RawRecords!A334</x:f>
        <x:v>46247.44555417824</x:v>
      </x:c>
      <x:c r="D139" s="10" t="n">
        <x:f>RawRecords!F334</x:f>
        <x:v>11.51</x:v>
      </x:c>
      <x:c r="E139" s="10" t="n">
        <x:f>RawRecords!G334</x:f>
        <x:v>2308.6351</x:v>
      </x:c>
      <x:c r="F139" s="10" t="n">
        <x:f>RawRecords!H334</x:f>
        <x:v>38.3856</x:v>
      </x:c>
      <x:c r="G139" s="10" t="str">
        <x:f>RawRecords!I334</x:f>
        <x:v>N/A (Bypassed)</x:v>
      </x:c>
      <x:c r="H139" s="10" t="str">
        <x:f>RawRecords!J334</x:f>
        <x:v>N/A (Bypassed)</x:v>
      </x:c>
      <x:c r="I139" s="10" t="n">
        <x:f>RawRecords!K334</x:f>
        <x:v>2308.6351</x:v>
      </x:c>
      <x:c r="J139" s="10" t="n">
        <x:f>RawRecords!L334</x:f>
        <x:v>49.8956</x:v>
      </x:c>
      <x:c r="K139" s="10" t="n">
        <x:f>RawRecords!M334</x:f>
        <x:v>41.9104</x:v>
      </x:c>
      <x:c r="L139" s="1" t="n">
        <x:v>18</x:v>
      </x:c>
      <x:c r="M139" s="1" t="n">
        <x:v>334</x:v>
      </x:c>
    </x:row>
    <x:row r="140" ht="23" customHeight="1">
      <x:c r="A140" s="1" t="n">
        <x:v>2</x:v>
      </x:c>
      <x:c r="B140" s="1" t="str">
        <x:v>Standard</x:v>
      </x:c>
      <x:c r="C140" s="9" t="n">
        <x:f>RawRecords!A335</x:f>
        <x:v>46247.445483055555</x:v>
      </x:c>
      <x:c r="D140" s="10" t="n">
        <x:f>RawRecords!F335</x:f>
        <x:v>11.8727</x:v>
      </x:c>
      <x:c r="E140" s="10" t="n">
        <x:f>RawRecords!G335</x:f>
        <x:v>1429.606</x:v>
      </x:c>
      <x:c r="F140" s="10" t="n">
        <x:f>RawRecords!H335</x:f>
        <x:v>37.386</x:v>
      </x:c>
      <x:c r="G140" s="10" t="str">
        <x:f>RawRecords!I335</x:f>
        <x:v>N/A (Bypassed)</x:v>
      </x:c>
      <x:c r="H140" s="10" t="str">
        <x:f>RawRecords!J335</x:f>
        <x:v>N/A (Bypassed)</x:v>
      </x:c>
      <x:c r="I140" s="10" t="n">
        <x:f>RawRecords!K335</x:f>
        <x:v>1429.606</x:v>
      </x:c>
      <x:c r="J140" s="10" t="n">
        <x:f>RawRecords!L335</x:f>
        <x:v>49.2587</x:v>
      </x:c>
      <x:c r="K140" s="10" t="n">
        <x:f>RawRecords!M335</x:f>
        <x:v>40.4905</x:v>
      </x:c>
      <x:c r="L140" s="1" t="n">
        <x:v>19</x:v>
      </x:c>
      <x:c r="M140" s="1" t="n">
        <x:v>335</x:v>
      </x:c>
    </x:row>
    <x:row r="141" ht="23" customHeight="1">
      <x:c r="A141" s="1" t="n">
        <x:v>2</x:v>
      </x:c>
      <x:c r="B141" s="1" t="str">
        <x:v>Standard</x:v>
      </x:c>
      <x:c r="C141" s="9" t="n">
        <x:f>RawRecords!A336</x:f>
        <x:v>46247.445410925924</x:v>
      </x:c>
      <x:c r="D141" s="10" t="n">
        <x:f>RawRecords!F336</x:f>
        <x:v>9.734</x:v>
      </x:c>
      <x:c r="E141" s="10" t="n">
        <x:f>RawRecords!G336</x:f>
        <x:v>1869.6682</x:v>
      </x:c>
      <x:c r="F141" s="10" t="n">
        <x:f>RawRecords!H336</x:f>
        <x:v>39.5285</x:v>
      </x:c>
      <x:c r="G141" s="10" t="str">
        <x:f>RawRecords!I336</x:f>
        <x:v>N/A (Bypassed)</x:v>
      </x:c>
      <x:c r="H141" s="10" t="str">
        <x:f>RawRecords!J336</x:f>
        <x:v>N/A (Bypassed)</x:v>
      </x:c>
      <x:c r="I141" s="10" t="n">
        <x:f>RawRecords!K336</x:f>
        <x:v>1869.6682</x:v>
      </x:c>
      <x:c r="J141" s="10" t="n">
        <x:f>RawRecords!L336</x:f>
        <x:v>49.2625</x:v>
      </x:c>
      <x:c r="K141" s="10" t="n">
        <x:f>RawRecords!M336</x:f>
        <x:v>42.2812</x:v>
      </x:c>
      <x:c r="L141" s="1" t="n">
        <x:v>20</x:v>
      </x:c>
      <x:c r="M141" s="1" t="n">
        <x:v>336</x:v>
      </x:c>
    </x:row>
    <x:row r="142" ht="23" customHeight="1">
      <x:c r="A142" s="1" t="n">
        <x:v>2</x:v>
      </x:c>
      <x:c r="B142" s="1" t="str">
        <x:v>Standard</x:v>
      </x:c>
      <x:c r="C142" s="9" t="n">
        <x:f>RawRecords!A337</x:f>
        <x:v>46247.44533533565</x:v>
      </x:c>
      <x:c r="D142" s="10" t="n">
        <x:f>RawRecords!F337</x:f>
        <x:v>8.4209</x:v>
      </x:c>
      <x:c r="E142" s="10" t="n">
        <x:f>RawRecords!G337</x:f>
        <x:v>3024.2967</x:v>
      </x:c>
      <x:c r="F142" s="10" t="n">
        <x:f>RawRecords!H337</x:f>
        <x:v>38.8282</x:v>
      </x:c>
      <x:c r="G142" s="10" t="str">
        <x:f>RawRecords!I337</x:f>
        <x:v>N/A (Bypassed)</x:v>
      </x:c>
      <x:c r="H142" s="10" t="str">
        <x:f>RawRecords!J337</x:f>
        <x:v>N/A (Bypassed)</x:v>
      </x:c>
      <x:c r="I142" s="10" t="n">
        <x:f>RawRecords!K337</x:f>
        <x:v>3024.2967</x:v>
      </x:c>
      <x:c r="J142" s="10" t="n">
        <x:f>RawRecords!L337</x:f>
        <x:v>47.2491</x:v>
      </x:c>
      <x:c r="K142" s="10" t="n">
        <x:f>RawRecords!M337</x:f>
        <x:v>39.5323</x:v>
      </x:c>
      <x:c r="L142" s="1" t="n">
        <x:v>21</x:v>
      </x:c>
      <x:c r="M142" s="1" t="n">
        <x:v>337</x:v>
      </x:c>
    </x:row>
    <x:row r="143" ht="23" customHeight="1">
      <x:c r="A143" s="1" t="n">
        <x:v>2</x:v>
      </x:c>
      <x:c r="B143" s="1" t="str">
        <x:v>Standard</x:v>
      </x:c>
      <x:c r="C143" s="9" t="n">
        <x:f>RawRecords!A358</x:f>
        <x:v>46247.44442331018</x:v>
      </x:c>
      <x:c r="D143" s="10" t="n">
        <x:f>RawRecords!F358</x:f>
        <x:v>36.5653</x:v>
      </x:c>
      <x:c r="E143" s="10" t="n">
        <x:f>RawRecords!G358</x:f>
        <x:v>1594.7919</x:v>
      </x:c>
      <x:c r="F143" s="10" t="n">
        <x:f>RawRecords!H358</x:f>
        <x:v>39.5976</x:v>
      </x:c>
      <x:c r="G143" s="10" t="str">
        <x:f>RawRecords!I358</x:f>
        <x:v>N/A (Bypassed)</x:v>
      </x:c>
      <x:c r="H143" s="10" t="str">
        <x:f>RawRecords!J358</x:f>
        <x:v>N/A (Bypassed)</x:v>
      </x:c>
      <x:c r="I143" s="10" t="n">
        <x:f>RawRecords!K358</x:f>
        <x:v>1594.7919</x:v>
      </x:c>
      <x:c r="J143" s="10" t="n">
        <x:f>RawRecords!L358</x:f>
        <x:v>76.1629</x:v>
      </x:c>
      <x:c r="K143" s="10" t="n">
        <x:f>RawRecords!M358</x:f>
        <x:v>68.8785</x:v>
      </x:c>
      <x:c r="L143" s="1" t="n">
        <x:v>42</x:v>
      </x:c>
      <x:c r="M143" s="1" t="n">
        <x:v>358</x:v>
      </x:c>
    </x:row>
    <x:row r="144" ht="23" customHeight="1">
      <x:c r="A144" s="1" t="n">
        <x:v>2</x:v>
      </x:c>
      <x:c r="B144" s="1" t="str">
        <x:v>Standard</x:v>
      </x:c>
      <x:c r="C144" s="9" t="n">
        <x:f>RawRecords!A359</x:f>
        <x:v>46247.44435327547</x:v>
      </x:c>
      <x:c r="D144" s="10" t="n">
        <x:f>RawRecords!F359</x:f>
        <x:v>11.333</x:v>
      </x:c>
      <x:c r="E144" s="10" t="n">
        <x:f>RawRecords!G359</x:f>
        <x:v>2200.2436</x:v>
      </x:c>
      <x:c r="F144" s="10" t="n">
        <x:f>RawRecords!H359</x:f>
        <x:v>68.9257</x:v>
      </x:c>
      <x:c r="G144" s="10" t="str">
        <x:f>RawRecords!I359</x:f>
        <x:v>N/A (Bypassed)</x:v>
      </x:c>
      <x:c r="H144" s="10" t="str">
        <x:f>RawRecords!J359</x:f>
        <x:v>N/A (Bypassed)</x:v>
      </x:c>
      <x:c r="I144" s="10" t="n">
        <x:f>RawRecords!K359</x:f>
        <x:v>2200.2436</x:v>
      </x:c>
      <x:c r="J144" s="10" t="n">
        <x:f>RawRecords!L359</x:f>
        <x:v>80.2587</x:v>
      </x:c>
      <x:c r="K144" s="10" t="n">
        <x:f>RawRecords!M359</x:f>
        <x:v>71.777</x:v>
      </x:c>
      <x:c r="L144" s="1" t="n">
        <x:v>43</x:v>
      </x:c>
      <x:c r="M144" s="1" t="n">
        <x:v>359</x:v>
      </x:c>
    </x:row>
    <x:row r="145" ht="23" customHeight="1">
      <x:c r="A145" s="1" t="n">
        <x:v>2</x:v>
      </x:c>
      <x:c r="B145" s="1" t="str">
        <x:v>Standard</x:v>
      </x:c>
      <x:c r="C145" s="9" t="n">
        <x:f>RawRecords!A360</x:f>
        <x:v>46247.44428909722</x:v>
      </x:c>
      <x:c r="D145" s="10" t="n">
        <x:f>RawRecords!F360</x:f>
        <x:v>42.0913</x:v>
      </x:c>
      <x:c r="E145" s="10" t="n">
        <x:f>RawRecords!G360</x:f>
        <x:v>1814.7003</x:v>
      </x:c>
      <x:c r="F145" s="10" t="n">
        <x:f>RawRecords!H360</x:f>
        <x:v>37.2514</x:v>
      </x:c>
      <x:c r="G145" s="10" t="str">
        <x:f>RawRecords!I360</x:f>
        <x:v>N/A (Bypassed)</x:v>
      </x:c>
      <x:c r="H145" s="10" t="str">
        <x:f>RawRecords!J360</x:f>
        <x:v>N/A (Bypassed)</x:v>
      </x:c>
      <x:c r="I145" s="10" t="n">
        <x:f>RawRecords!K360</x:f>
        <x:v>1814.7003</x:v>
      </x:c>
      <x:c r="J145" s="10" t="n">
        <x:f>RawRecords!L360</x:f>
        <x:v>79.3427</x:v>
      </x:c>
      <x:c r="K145" s="10" t="n">
        <x:f>RawRecords!M360</x:f>
        <x:v>71.4105</x:v>
      </x:c>
      <x:c r="L145" s="1" t="n">
        <x:v>44</x:v>
      </x:c>
      <x:c r="M145" s="1" t="n">
        <x:v>360</x:v>
      </x:c>
    </x:row>
    <x:row r="146" ht="23" customHeight="1">
      <x:c r="A146" s="1" t="n">
        <x:v>2</x:v>
      </x:c>
      <x:c r="B146" s="1" t="str">
        <x:v>Standard</x:v>
      </x:c>
      <x:c r="C146" s="9" t="n">
        <x:f>RawRecords!A361</x:f>
        <x:v>46247.44422695602</x:v>
      </x:c>
      <x:c r="D146" s="10" t="n">
        <x:f>RawRecords!F361</x:f>
        <x:v>11.618</x:v>
      </x:c>
      <x:c r="E146" s="10" t="n">
        <x:f>RawRecords!G361</x:f>
        <x:v>1539.8935</x:v>
      </x:c>
      <x:c r="F146" s="10" t="n">
        <x:f>RawRecords!H361</x:f>
        <x:v>39.5551</x:v>
      </x:c>
      <x:c r="G146" s="10" t="str">
        <x:f>RawRecords!I361</x:f>
        <x:v>N/A (Bypassed)</x:v>
      </x:c>
      <x:c r="H146" s="10" t="str">
        <x:f>RawRecords!J361</x:f>
        <x:v>N/A (Bypassed)</x:v>
      </x:c>
      <x:c r="I146" s="10" t="n">
        <x:f>RawRecords!K361</x:f>
        <x:v>1539.8935</x:v>
      </x:c>
      <x:c r="J146" s="10" t="n">
        <x:f>RawRecords!L361</x:f>
        <x:v>51.1731</x:v>
      </x:c>
      <x:c r="K146" s="10" t="n">
        <x:f>RawRecords!M361</x:f>
        <x:v>43.5718</x:v>
      </x:c>
      <x:c r="L146" s="1" t="n">
        <x:v>45</x:v>
      </x:c>
      <x:c r="M146" s="1" t="n">
        <x:v>361</x:v>
      </x:c>
    </x:row>
    <x:row r="147" ht="23" customHeight="1">
      <x:c r="A147" s="1" t="n">
        <x:v>2</x:v>
      </x:c>
      <x:c r="B147" s="1" t="str">
        <x:v>Standard</x:v>
      </x:c>
      <x:c r="C147" s="9" t="n">
        <x:f>RawRecords!A362</x:f>
        <x:v>46247.44416222222</x:v>
      </x:c>
      <x:c r="D147" s="10" t="n">
        <x:f>RawRecords!F362</x:f>
        <x:v>11.0266</x:v>
      </x:c>
      <x:c r="E147" s="10" t="n">
        <x:f>RawRecords!G362</x:f>
        <x:v>1704.9833</x:v>
      </x:c>
      <x:c r="F147" s="10" t="n">
        <x:f>RawRecords!H362</x:f>
        <x:v>38.4654</x:v>
      </x:c>
      <x:c r="G147" s="10" t="str">
        <x:f>RawRecords!I362</x:f>
        <x:v>N/A (Bypassed)</x:v>
      </x:c>
      <x:c r="H147" s="10" t="str">
        <x:f>RawRecords!J362</x:f>
        <x:v>N/A (Bypassed)</x:v>
      </x:c>
      <x:c r="I147" s="10" t="n">
        <x:f>RawRecords!K362</x:f>
        <x:v>1704.9833</x:v>
      </x:c>
      <x:c r="J147" s="10" t="n">
        <x:f>RawRecords!L362</x:f>
        <x:v>49.492</x:v>
      </x:c>
      <x:c r="K147" s="10" t="n">
        <x:f>RawRecords!M362</x:f>
        <x:v>41.2289</x:v>
      </x:c>
      <x:c r="L147" s="1" t="n">
        <x:v>46</x:v>
      </x:c>
      <x:c r="M147" s="1" t="n">
        <x:v>362</x:v>
      </x:c>
    </x:row>
    <x:row r="148" ht="23" customHeight="1">
      <x:c r="A148" s="1" t="n">
        <x:v>2</x:v>
      </x:c>
      <x:c r="B148" s="1" t="str">
        <x:v>Standard</x:v>
      </x:c>
      <x:c r="C148" s="9" t="n">
        <x:f>RawRecords!A363</x:f>
        <x:v>46247.44410143519</x:v>
      </x:c>
      <x:c r="D148" s="10" t="n">
        <x:f>RawRecords!F363</x:f>
        <x:v>11.6388</x:v>
      </x:c>
      <x:c r="E148" s="10" t="n">
        <x:f>RawRecords!G363</x:f>
        <x:v>4069.945</x:v>
      </x:c>
      <x:c r="F148" s="10" t="n">
        <x:f>RawRecords!H363</x:f>
        <x:v>39.0685</x:v>
      </x:c>
      <x:c r="G148" s="10" t="str">
        <x:f>RawRecords!I363</x:f>
        <x:v>N/A (Bypassed)</x:v>
      </x:c>
      <x:c r="H148" s="10" t="str">
        <x:f>RawRecords!J363</x:f>
        <x:v>N/A (Bypassed)</x:v>
      </x:c>
      <x:c r="I148" s="10" t="n">
        <x:f>RawRecords!K363</x:f>
        <x:v>4069.945</x:v>
      </x:c>
      <x:c r="J148" s="10" t="n">
        <x:f>RawRecords!L363</x:f>
        <x:v>50.7073</x:v>
      </x:c>
      <x:c r="K148" s="10" t="n">
        <x:f>RawRecords!M363</x:f>
        <x:v>42.018</x:v>
      </x:c>
      <x:c r="L148" s="1" t="n">
        <x:v>47</x:v>
      </x:c>
      <x:c r="M148" s="1" t="n">
        <x:v>363</x:v>
      </x:c>
    </x:row>
    <x:row r="149" ht="23" customHeight="1">
      <x:c r="A149" s="1" t="n">
        <x:v>2</x:v>
      </x:c>
      <x:c r="B149" s="1" t="str">
        <x:v>Standard</x:v>
      </x:c>
      <x:c r="C149" s="9" t="n">
        <x:f>RawRecords!A364</x:f>
        <x:v>46247.44401357639</x:v>
      </x:c>
      <x:c r="D149" s="10" t="n">
        <x:f>RawRecords!F364</x:f>
        <x:v>8.1385</x:v>
      </x:c>
      <x:c r="E149" s="10" t="n">
        <x:f>RawRecords!G364</x:f>
        <x:v>1815.1769</x:v>
      </x:c>
      <x:c r="F149" s="10" t="n">
        <x:f>RawRecords!H364</x:f>
        <x:v>38.6488</x:v>
      </x:c>
      <x:c r="G149" s="10" t="str">
        <x:f>RawRecords!I364</x:f>
        <x:v>N/A (Bypassed)</x:v>
      </x:c>
      <x:c r="H149" s="10" t="str">
        <x:f>RawRecords!J364</x:f>
        <x:v>N/A (Bypassed)</x:v>
      </x:c>
      <x:c r="I149" s="10" t="n">
        <x:f>RawRecords!K364</x:f>
        <x:v>1815.1769</x:v>
      </x:c>
      <x:c r="J149" s="10" t="n">
        <x:f>RawRecords!L364</x:f>
        <x:v>46.7873</x:v>
      </x:c>
      <x:c r="K149" s="10" t="n">
        <x:f>RawRecords!M364</x:f>
        <x:v>39.2327</x:v>
      </x:c>
      <x:c r="L149" s="1" t="n">
        <x:v>48</x:v>
      </x:c>
      <x:c r="M149" s="1" t="n">
        <x:v>364</x:v>
      </x:c>
    </x:row>
    <x:row r="150" ht="23" customHeight="1">
      <x:c r="A150" s="1" t="n">
        <x:v>2</x:v>
      </x:c>
      <x:c r="B150" s="1" t="str">
        <x:v>Standard</x:v>
      </x:c>
      <x:c r="C150" s="9" t="n">
        <x:f>RawRecords!A365</x:f>
        <x:v>46247.44393601852</x:v>
      </x:c>
      <x:c r="D150" s="10" t="n">
        <x:f>RawRecords!F365</x:f>
        <x:v>98.3055</x:v>
      </x:c>
      <x:c r="E150" s="10" t="n">
        <x:f>RawRecords!G365</x:f>
        <x:v>1484.4098</x:v>
      </x:c>
      <x:c r="F150" s="10" t="n">
        <x:f>RawRecords!H365</x:f>
        <x:v>39.1682</x:v>
      </x:c>
      <x:c r="G150" s="10" t="str">
        <x:f>RawRecords!I365</x:f>
        <x:v>N/A (Bypassed)</x:v>
      </x:c>
      <x:c r="H150" s="10" t="str">
        <x:f>RawRecords!J365</x:f>
        <x:v>N/A (Bypassed)</x:v>
      </x:c>
      <x:c r="I150" s="10" t="n">
        <x:f>RawRecords!K365</x:f>
        <x:v>1484.4098</x:v>
      </x:c>
      <x:c r="J150" s="10" t="n">
        <x:f>RawRecords!L365</x:f>
        <x:v>137.4737</x:v>
      </x:c>
      <x:c r="K150" s="10" t="n">
        <x:f>RawRecords!M365</x:f>
        <x:v>42.1648</x:v>
      </x:c>
      <x:c r="L150" s="1" t="n">
        <x:v>49</x:v>
      </x:c>
      <x:c r="M150" s="1" t="n">
        <x:v>365</x:v>
      </x:c>
    </x:row>
    <x:row r="151" ht="23" customHeight="1">
      <x:c r="A151" s="1" t="n">
        <x:v>2</x:v>
      </x:c>
      <x:c r="B151" s="1" t="str">
        <x:v>Standard</x:v>
      </x:c>
      <x:c r="C151" s="9" t="n">
        <x:f>RawRecords!A366</x:f>
        <x:v>46247.443875682875</x:v>
      </x:c>
      <x:c r="D151" s="10" t="n">
        <x:f>RawRecords!F366</x:f>
        <x:v>11.4906</x:v>
      </x:c>
      <x:c r="E151" s="10" t="n">
        <x:f>RawRecords!G366</x:f>
        <x:v>1594.5409</x:v>
      </x:c>
      <x:c r="F151" s="10" t="n">
        <x:f>RawRecords!H366</x:f>
        <x:v>38.9985</x:v>
      </x:c>
      <x:c r="G151" s="10" t="str">
        <x:f>RawRecords!I366</x:f>
        <x:v>N/A (Bypassed)</x:v>
      </x:c>
      <x:c r="H151" s="10" t="str">
        <x:f>RawRecords!J366</x:f>
        <x:v>N/A (Bypassed)</x:v>
      </x:c>
      <x:c r="I151" s="10" t="n">
        <x:f>RawRecords!K366</x:f>
        <x:v>1594.5409</x:v>
      </x:c>
      <x:c r="J151" s="10" t="n">
        <x:f>RawRecords!L366</x:f>
        <x:v>50.4891</x:v>
      </x:c>
      <x:c r="K151" s="10" t="n">
        <x:f>RawRecords!M366</x:f>
        <x:v>43.0262</x:v>
      </x:c>
      <x:c r="L151" s="1" t="n">
        <x:v>50</x:v>
      </x:c>
      <x:c r="M151" s="1" t="n">
        <x:v>366</x:v>
      </x:c>
    </x:row>
    <x:row r="152" ht="23" customHeight="1">
      <x:c r="A152" s="1" t="n">
        <x:v>2</x:v>
      </x:c>
      <x:c r="B152" s="1" t="str">
        <x:v>Standard</x:v>
      </x:c>
      <x:c r="C152" s="9" t="n">
        <x:f>RawRecords!A367</x:f>
        <x:v>46247.44381344908</x:v>
      </x:c>
      <x:c r="D152" s="10" t="n">
        <x:f>RawRecords!F367</x:f>
        <x:v>10.9793</x:v>
      </x:c>
      <x:c r="E152" s="10" t="n">
        <x:f>RawRecords!G367</x:f>
        <x:v>1759.1821</x:v>
      </x:c>
      <x:c r="F152" s="10" t="n">
        <x:f>RawRecords!H367</x:f>
        <x:v>39.5108</x:v>
      </x:c>
      <x:c r="G152" s="10" t="str">
        <x:f>RawRecords!I367</x:f>
        <x:v>N/A (Bypassed)</x:v>
      </x:c>
      <x:c r="H152" s="10" t="str">
        <x:f>RawRecords!J367</x:f>
        <x:v>N/A (Bypassed)</x:v>
      </x:c>
      <x:c r="I152" s="10" t="n">
        <x:f>RawRecords!K367</x:f>
        <x:v>1759.1821</x:v>
      </x:c>
      <x:c r="J152" s="10" t="n">
        <x:f>RawRecords!L367</x:f>
        <x:v>50.4901</x:v>
      </x:c>
      <x:c r="K152" s="10" t="n">
        <x:f>RawRecords!M367</x:f>
        <x:v>42.4097</x:v>
      </x:c>
      <x:c r="L152" s="1" t="n">
        <x:v>51</x:v>
      </x:c>
      <x:c r="M152" s="1" t="n">
        <x:v>367</x:v>
      </x:c>
    </x:row>
    <x:row r="153" ht="23" customHeight="1">
      <x:c r="A153" s="1" t="n">
        <x:v>2</x:v>
      </x:c>
      <x:c r="B153" s="1" t="str">
        <x:v>Standard</x:v>
      </x:c>
      <x:c r="C153" s="9" t="n">
        <x:f>RawRecords!A368</x:f>
        <x:v>46247.44374850694</x:v>
      </x:c>
      <x:c r="D153" s="10" t="n">
        <x:f>RawRecords!F368</x:f>
        <x:v>12.0003</x:v>
      </x:c>
      <x:c r="E153" s="10" t="n">
        <x:f>RawRecords!G368</x:f>
        <x:v>2803.4283</x:v>
      </x:c>
      <x:c r="F153" s="10" t="n">
        <x:f>RawRecords!H368</x:f>
        <x:v>38.7247</x:v>
      </x:c>
      <x:c r="G153" s="10" t="str">
        <x:f>RawRecords!I368</x:f>
        <x:v>N/A (Bypassed)</x:v>
      </x:c>
      <x:c r="H153" s="10" t="str">
        <x:f>RawRecords!J368</x:f>
        <x:v>N/A (Bypassed)</x:v>
      </x:c>
      <x:c r="I153" s="10" t="n">
        <x:f>RawRecords!K368</x:f>
        <x:v>2803.4283</x:v>
      </x:c>
      <x:c r="J153" s="10" t="n">
        <x:f>RawRecords!L368</x:f>
        <x:v>50.725</x:v>
      </x:c>
      <x:c r="K153" s="10" t="n">
        <x:f>RawRecords!M368</x:f>
        <x:v>42.8773</x:v>
      </x:c>
      <x:c r="L153" s="1" t="n">
        <x:v>52</x:v>
      </x:c>
      <x:c r="M153" s="1" t="n">
        <x:v>368</x:v>
      </x:c>
    </x:row>
    <x:row r="154" ht="23" customHeight="1">
      <x:c r="A154" s="1" t="n">
        <x:v>2</x:v>
      </x:c>
      <x:c r="B154" s="1" t="str">
        <x:v>Standard</x:v>
      </x:c>
      <x:c r="C154" s="9" t="n">
        <x:f>RawRecords!A369</x:f>
        <x:v>46247.44366503472</x:v>
      </x:c>
      <x:c r="D154" s="10" t="n">
        <x:f>RawRecords!F369</x:f>
        <x:v>46.4481</x:v>
      </x:c>
      <x:c r="E154" s="10" t="n">
        <x:f>RawRecords!G369</x:f>
        <x:v>1539.9334</x:v>
      </x:c>
      <x:c r="F154" s="10" t="n">
        <x:f>RawRecords!H369</x:f>
        <x:v>37.7854</x:v>
      </x:c>
      <x:c r="G154" s="10" t="str">
        <x:f>RawRecords!I369</x:f>
        <x:v>N/A (Bypassed)</x:v>
      </x:c>
      <x:c r="H154" s="10" t="str">
        <x:f>RawRecords!J369</x:f>
        <x:v>N/A (Bypassed)</x:v>
      </x:c>
      <x:c r="I154" s="10" t="n">
        <x:f>RawRecords!K369</x:f>
        <x:v>1539.9334</x:v>
      </x:c>
      <x:c r="J154" s="10" t="n">
        <x:f>RawRecords!L369</x:f>
        <x:v>84.2335</x:v>
      </x:c>
      <x:c r="K154" s="10" t="n">
        <x:f>RawRecords!M369</x:f>
        <x:v>41.1021</x:v>
      </x:c>
      <x:c r="L154" s="1" t="n">
        <x:v>53</x:v>
      </x:c>
      <x:c r="M154" s="1" t="n">
        <x:v>369</x:v>
      </x:c>
    </x:row>
    <x:row r="155" ht="23" customHeight="1">
      <x:c r="A155" s="1" t="n">
        <x:v>2</x:v>
      </x:c>
      <x:c r="B155" s="1" t="str">
        <x:v>Standard</x:v>
      </x:c>
      <x:c r="C155" s="9" t="n">
        <x:f>RawRecords!A370</x:f>
        <x:v>46247.443597997684</x:v>
      </x:c>
      <x:c r="D155" s="10" t="n">
        <x:f>RawRecords!F370</x:f>
        <x:v>11.4465</x:v>
      </x:c>
      <x:c r="E155" s="10" t="n">
        <x:f>RawRecords!G370</x:f>
        <x:v>1430.6563</x:v>
      </x:c>
      <x:c r="F155" s="10" t="n">
        <x:f>RawRecords!H370</x:f>
        <x:v>73.3417</x:v>
      </x:c>
      <x:c r="G155" s="10" t="str">
        <x:f>RawRecords!I370</x:f>
        <x:v>N/A (Bypassed)</x:v>
      </x:c>
      <x:c r="H155" s="10" t="str">
        <x:f>RawRecords!J370</x:f>
        <x:v>N/A (Bypassed)</x:v>
      </x:c>
      <x:c r="I155" s="10" t="n">
        <x:f>RawRecords!K370</x:f>
        <x:v>1430.6563</x:v>
      </x:c>
      <x:c r="J155" s="10" t="n">
        <x:f>RawRecords!L370</x:f>
        <x:v>84.7882</x:v>
      </x:c>
      <x:c r="K155" s="10" t="n">
        <x:f>RawRecords!M370</x:f>
        <x:v>76.7779</x:v>
      </x:c>
      <x:c r="L155" s="1" t="n">
        <x:v>54</x:v>
      </x:c>
      <x:c r="M155" s="1" t="n">
        <x:v>370</x:v>
      </x:c>
    </x:row>
    <x:row r="156" ht="23" customHeight="1">
      <x:c r="A156" s="1" t="n">
        <x:v>2</x:v>
      </x:c>
      <x:c r="B156" s="1" t="str">
        <x:v>Standard</x:v>
      </x:c>
      <x:c r="C156" s="9" t="n">
        <x:f>RawRecords!A371</x:f>
        <x:v>46247.44354386574</x:v>
      </x:c>
      <x:c r="D156" s="10" t="n">
        <x:f>RawRecords!F371</x:f>
        <x:v>11.0462</x:v>
      </x:c>
      <x:c r="E156" s="10" t="n">
        <x:f>RawRecords!G371</x:f>
        <x:v>1924.5115</x:v>
      </x:c>
      <x:c r="F156" s="10" t="n">
        <x:f>RawRecords!H371</x:f>
        <x:v>67.8064</x:v>
      </x:c>
      <x:c r="G156" s="10" t="str">
        <x:f>RawRecords!I371</x:f>
        <x:v>N/A (Bypassed)</x:v>
      </x:c>
      <x:c r="H156" s="10" t="str">
        <x:f>RawRecords!J371</x:f>
        <x:v>N/A (Bypassed)</x:v>
      </x:c>
      <x:c r="I156" s="10" t="n">
        <x:f>RawRecords!K371</x:f>
        <x:v>1924.5115</x:v>
      </x:c>
      <x:c r="J156" s="10" t="n">
        <x:f>RawRecords!L371</x:f>
        <x:v>78.8526</x:v>
      </x:c>
      <x:c r="K156" s="10" t="n">
        <x:f>RawRecords!M371</x:f>
        <x:v>70.9699</x:v>
      </x:c>
      <x:c r="L156" s="1" t="n">
        <x:v>55</x:v>
      </x:c>
      <x:c r="M156" s="1" t="n">
        <x:v>371</x:v>
      </x:c>
    </x:row>
    <x:row r="157" ht="23" customHeight="1">
      <x:c r="A157" s="1" t="n">
        <x:v>2</x:v>
      </x:c>
      <x:c r="B157" s="1" t="str">
        <x:v>Standard</x:v>
      </x:c>
      <x:c r="C157" s="9" t="n">
        <x:f>RawRecords!A373</x:f>
        <x:v>46247.44344180556</x:v>
      </x:c>
      <x:c r="D157" s="10" t="n">
        <x:f>RawRecords!F373</x:f>
        <x:v>13.7178</x:v>
      </x:c>
      <x:c r="E157" s="10" t="n">
        <x:f>RawRecords!G373</x:f>
        <x:v>1540.8743</x:v>
      </x:c>
      <x:c r="F157" s="10" t="n">
        <x:f>RawRecords!H373</x:f>
        <x:v>39.7763</x:v>
      </x:c>
      <x:c r="G157" s="10" t="str">
        <x:f>RawRecords!I373</x:f>
        <x:v>N/A (Bypassed)</x:v>
      </x:c>
      <x:c r="H157" s="10" t="str">
        <x:f>RawRecords!J373</x:f>
        <x:v>N/A (Bypassed)</x:v>
      </x:c>
      <x:c r="I157" s="10" t="n">
        <x:f>RawRecords!K373</x:f>
        <x:v>1540.8743</x:v>
      </x:c>
      <x:c r="J157" s="10" t="n">
        <x:f>RawRecords!L373</x:f>
        <x:v>53.4941</x:v>
      </x:c>
      <x:c r="K157" s="10" t="n">
        <x:f>RawRecords!M373</x:f>
        <x:v>45.4338</x:v>
      </x:c>
      <x:c r="L157" s="1" t="n">
        <x:v>57</x:v>
      </x:c>
      <x:c r="M157" s="1" t="n">
        <x:v>373</x:v>
      </x:c>
    </x:row>
    <x:row r="158" ht="23" customHeight="1">
      <x:c r="A158" s="1" t="n">
        <x:v>2</x:v>
      </x:c>
      <x:c r="B158" s="1" t="str">
        <x:v>Standard</x:v>
      </x:c>
      <x:c r="C158" s="9" t="n">
        <x:f>RawRecords!A374</x:f>
        <x:v>46247.44335195602</x:v>
      </x:c>
      <x:c r="D158" s="10" t="n">
        <x:f>RawRecords!F374</x:f>
        <x:v>7.5006</x:v>
      </x:c>
      <x:c r="E158" s="10" t="n">
        <x:f>RawRecords!G374</x:f>
        <x:v>1979.9161</x:v>
      </x:c>
      <x:c r="F158" s="10" t="n">
        <x:f>RawRecords!H374</x:f>
        <x:v>37.0529</x:v>
      </x:c>
      <x:c r="G158" s="10" t="str">
        <x:f>RawRecords!I374</x:f>
        <x:v>N/A (Bypassed)</x:v>
      </x:c>
      <x:c r="H158" s="10" t="str">
        <x:f>RawRecords!J374</x:f>
        <x:v>N/A (Bypassed)</x:v>
      </x:c>
      <x:c r="I158" s="10" t="n">
        <x:f>RawRecords!K374</x:f>
        <x:v>1979.9161</x:v>
      </x:c>
      <x:c r="J158" s="10" t="n">
        <x:f>RawRecords!L374</x:f>
        <x:v>44.5535</x:v>
      </x:c>
      <x:c r="K158" s="10" t="n">
        <x:f>RawRecords!M374</x:f>
        <x:v>37.6276</x:v>
      </x:c>
      <x:c r="L158" s="1" t="n">
        <x:v>58</x:v>
      </x:c>
      <x:c r="M158" s="1" t="n">
        <x:v>374</x:v>
      </x:c>
    </x:row>
    <x:row r="159" ht="23" customHeight="1">
      <x:c r="A159" s="1" t="n">
        <x:v>2</x:v>
      </x:c>
      <x:c r="B159" s="1" t="str">
        <x:v>Standard</x:v>
      </x:c>
      <x:c r="C159" s="9" t="n">
        <x:f>RawRecords!A375</x:f>
        <x:v>46247.44325023148</x:v>
      </x:c>
      <x:c r="D159" s="10" t="n">
        <x:f>RawRecords!F375</x:f>
        <x:v>15.9194</x:v>
      </x:c>
      <x:c r="E159" s="10" t="n">
        <x:f>RawRecords!G375</x:f>
        <x:v>2584.1578</x:v>
      </x:c>
      <x:c r="F159" s="10" t="n">
        <x:f>RawRecords!H375</x:f>
        <x:v>38.7511</x:v>
      </x:c>
      <x:c r="G159" s="10" t="str">
        <x:f>RawRecords!I375</x:f>
        <x:v>N/A (Bypassed)</x:v>
      </x:c>
      <x:c r="H159" s="10" t="str">
        <x:f>RawRecords!J375</x:f>
        <x:v>N/A (Bypassed)</x:v>
      </x:c>
      <x:c r="I159" s="10" t="n">
        <x:f>RawRecords!K375</x:f>
        <x:v>2584.1578</x:v>
      </x:c>
      <x:c r="J159" s="10" t="n">
        <x:f>RawRecords!L375</x:f>
        <x:v>54.6705</x:v>
      </x:c>
      <x:c r="K159" s="10" t="n">
        <x:f>RawRecords!M375</x:f>
        <x:v>41.683</x:v>
      </x:c>
      <x:c r="L159" s="1" t="n">
        <x:v>59</x:v>
      </x:c>
      <x:c r="M159" s="1" t="n">
        <x:v>375</x:v>
      </x:c>
    </x:row>
    <x:row r="160" ht="23" customHeight="1">
      <x:c r="A160" s="1" t="n">
        <x:v>2</x:v>
      </x:c>
      <x:c r="B160" s="1" t="str">
        <x:v>Standard</x:v>
      </x:c>
      <x:c r="C160" s="9" t="n">
        <x:f>RawRecords!A379</x:f>
        <x:v>46247.44291254629</x:v>
      </x:c>
      <x:c r="D160" s="10" t="n">
        <x:f>RawRecords!F379</x:f>
        <x:v>11.556</x:v>
      </x:c>
      <x:c r="E160" s="10" t="n">
        <x:f>RawRecords!G379</x:f>
        <x:v>1815.4122</x:v>
      </x:c>
      <x:c r="F160" s="10" t="n">
        <x:f>RawRecords!H379</x:f>
        <x:v>40.0716</x:v>
      </x:c>
      <x:c r="G160" s="10" t="str">
        <x:f>RawRecords!I379</x:f>
        <x:v>N/A (Bypassed)</x:v>
      </x:c>
      <x:c r="H160" s="10" t="str">
        <x:f>RawRecords!J379</x:f>
        <x:v>N/A (Bypassed)</x:v>
      </x:c>
      <x:c r="I160" s="10" t="n">
        <x:f>RawRecords!K379</x:f>
        <x:v>1815.4122</x:v>
      </x:c>
      <x:c r="J160" s="10" t="n">
        <x:f>RawRecords!L379</x:f>
        <x:v>51.6276</x:v>
      </x:c>
      <x:c r="K160" s="10" t="n">
        <x:f>RawRecords!M379</x:f>
        <x:v>43.219</x:v>
      </x:c>
      <x:c r="L160" s="1" t="n">
        <x:v>63</x:v>
      </x:c>
      <x:c r="M160" s="1" t="n">
        <x:v>379</x:v>
      </x:c>
    </x:row>
    <x:row r="161" ht="23" customHeight="1">
      <x:c r="A161" s="1" t="n">
        <x:v>2</x:v>
      </x:c>
      <x:c r="B161" s="1" t="str">
        <x:v>Standard</x:v>
      </x:c>
      <x:c r="C161" s="9" t="n">
        <x:f>RawRecords!A380</x:f>
        <x:v>46247.44284560185</x:v>
      </x:c>
      <x:c r="D161" s="10" t="n">
        <x:f>RawRecords!F380</x:f>
        <x:v>10.6516</x:v>
      </x:c>
      <x:c r="E161" s="10" t="n">
        <x:f>RawRecords!G380</x:f>
        <x:v>2254.8992</x:v>
      </x:c>
      <x:c r="F161" s="10" t="n">
        <x:f>RawRecords!H380</x:f>
        <x:v>39.5814</x:v>
      </x:c>
      <x:c r="G161" s="10" t="str">
        <x:f>RawRecords!I380</x:f>
        <x:v>N/A (Bypassed)</x:v>
      </x:c>
      <x:c r="H161" s="10" t="str">
        <x:f>RawRecords!J380</x:f>
        <x:v>N/A (Bypassed)</x:v>
      </x:c>
      <x:c r="I161" s="10" t="n">
        <x:f>RawRecords!K380</x:f>
        <x:v>2254.8992</x:v>
      </x:c>
      <x:c r="J161" s="10" t="n">
        <x:f>RawRecords!L380</x:f>
        <x:v>50.233</x:v>
      </x:c>
      <x:c r="K161" s="10" t="n">
        <x:f>RawRecords!M380</x:f>
        <x:v>42.8276</x:v>
      </x:c>
      <x:c r="L161" s="1" t="n">
        <x:v>64</x:v>
      </x:c>
      <x:c r="M161" s="1" t="n">
        <x:v>380</x:v>
      </x:c>
    </x:row>
    <x:row r="162" ht="23" customHeight="1">
      <x:c r="A162" s="1" t="n">
        <x:v>2</x:v>
      </x:c>
      <x:c r="B162" s="1" t="str">
        <x:v>Standard</x:v>
      </x:c>
      <x:c r="C162" s="9" t="n">
        <x:f>RawRecords!A381</x:f>
        <x:v>46247.442760405094</x:v>
      </x:c>
      <x:c r="D162" s="10" t="n">
        <x:f>RawRecords!F381</x:f>
        <x:v>37.9325</x:v>
      </x:c>
      <x:c r="E162" s="10" t="n">
        <x:f>RawRecords!G381</x:f>
        <x:v>1980.539</x:v>
      </x:c>
      <x:c r="F162" s="10" t="n">
        <x:f>RawRecords!H381</x:f>
        <x:v>38.7839</x:v>
      </x:c>
      <x:c r="G162" s="10" t="str">
        <x:f>RawRecords!I381</x:f>
        <x:v>N/A (Bypassed)</x:v>
      </x:c>
      <x:c r="H162" s="10" t="str">
        <x:f>RawRecords!J381</x:f>
        <x:v>N/A (Bypassed)</x:v>
      </x:c>
      <x:c r="I162" s="10" t="n">
        <x:f>RawRecords!K381</x:f>
        <x:v>1980.539</x:v>
      </x:c>
      <x:c r="J162" s="10" t="n">
        <x:f>RawRecords!L381</x:f>
        <x:v>76.7164</x:v>
      </x:c>
      <x:c r="K162" s="10" t="n">
        <x:f>RawRecords!M381</x:f>
        <x:v>39.5703</x:v>
      </x:c>
      <x:c r="L162" s="1" t="n">
        <x:v>65</x:v>
      </x:c>
      <x:c r="M162" s="1" t="n">
        <x:v>381</x:v>
      </x:c>
    </x:row>
    <x:row r="163" ht="23" customHeight="1">
      <x:c r="A163" s="1" t="n">
        <x:v>1</x:v>
      </x:c>
      <x:c r="B163" s="1" t="str">
        <x:v>HighSecurity</x:v>
      </x:c>
      <x:c r="C163" s="9" t="n">
        <x:f>RawRecords!A195</x:f>
        <x:v>46246.49641707176</x:v>
      </x:c>
      <x:c r="D163" s="10" t="n">
        <x:f>RawRecords!F195</x:f>
        <x:v>13.7952</x:v>
      </x:c>
      <x:c r="E163" s="10" t="n">
        <x:f>RawRecords!G195</x:f>
        <x:v>2749.9937</x:v>
      </x:c>
      <x:c r="F163" s="10" t="n">
        <x:f>RawRecords!H195</x:f>
        <x:v>38.1077</x:v>
      </x:c>
      <x:c r="G163" s="10" t="n">
        <x:f>RawRecords!I195</x:f>
        <x:v>2451.0065</x:v>
      </x:c>
      <x:c r="H163" s="10" t="n">
        <x:f>RawRecords!J195</x:f>
        <x:v>2.1698</x:v>
      </x:c>
      <x:c r="I163" s="10" t="n">
        <x:f>RawRecords!K195</x:f>
        <x:v>5201.0002</x:v>
      </x:c>
      <x:c r="J163" s="10" t="n">
        <x:f>RawRecords!L195</x:f>
        <x:v>54.0727</x:v>
      </x:c>
      <x:c r="K163" s="10" t="n">
        <x:f>RawRecords!M195</x:f>
        <x:v>44.1144</x:v>
      </x:c>
      <x:c r="L163" s="1" t="n">
        <x:v>22</x:v>
      </x:c>
      <x:c r="M163" s="1" t="n">
        <x:v>195</x:v>
      </x:c>
    </x:row>
    <x:row r="164" ht="23" customHeight="1">
      <x:c r="A164" s="1" t="n">
        <x:v>1</x:v>
      </x:c>
      <x:c r="B164" s="1" t="str">
        <x:v>HighSecurity</x:v>
      </x:c>
      <x:c r="C164" s="9" t="n">
        <x:f>RawRecords!A196</x:f>
        <x:v>46246.49628871528</x:v>
      </x:c>
      <x:c r="D164" s="10" t="n">
        <x:f>RawRecords!F196</x:f>
        <x:v>10.5792</x:v>
      </x:c>
      <x:c r="E164" s="10" t="n">
        <x:f>RawRecords!G196</x:f>
        <x:v>1813.8661</x:v>
      </x:c>
      <x:c r="F164" s="10" t="n">
        <x:f>RawRecords!H196</x:f>
        <x:v>39.4436</x:v>
      </x:c>
      <x:c r="G164" s="10" t="n">
        <x:f>RawRecords!I196</x:f>
        <x:v>2174.6174</x:v>
      </x:c>
      <x:c r="H164" s="10" t="n">
        <x:f>RawRecords!J196</x:f>
        <x:v>2.2387</x:v>
      </x:c>
      <x:c r="I164" s="10" t="n">
        <x:f>RawRecords!K196</x:f>
        <x:v>3988.4835</x:v>
      </x:c>
      <x:c r="J164" s="10" t="n">
        <x:f>RawRecords!L196</x:f>
        <x:v>52.2615</x:v>
      </x:c>
      <x:c r="K164" s="10" t="n">
        <x:f>RawRecords!M196</x:f>
        <x:v>43.556</x:v>
      </x:c>
      <x:c r="L164" s="1" t="n">
        <x:v>23</x:v>
      </x:c>
      <x:c r="M164" s="1" t="n">
        <x:v>196</x:v>
      </x:c>
    </x:row>
    <x:row r="165" ht="23" customHeight="1">
      <x:c r="A165" s="1" t="n">
        <x:v>1</x:v>
      </x:c>
      <x:c r="B165" s="1" t="str">
        <x:v>HighSecurity</x:v>
      </x:c>
      <x:c r="C165" s="9" t="n">
        <x:f>RawRecords!A197</x:f>
        <x:v>46246.49616765046</x:v>
      </x:c>
      <x:c r="D165" s="10" t="n">
        <x:f>RawRecords!F197</x:f>
        <x:v>12.1836</x:v>
      </x:c>
      <x:c r="E165" s="10" t="n">
        <x:f>RawRecords!G197</x:f>
        <x:v>2255.023</x:v>
      </x:c>
      <x:c r="F165" s="10" t="n">
        <x:f>RawRecords!H197</x:f>
        <x:v>37.7268</x:v>
      </x:c>
      <x:c r="G165" s="10" t="n">
        <x:f>RawRecords!I197</x:f>
        <x:v>2046.2834</x:v>
      </x:c>
      <x:c r="H165" s="10" t="n">
        <x:f>RawRecords!J197</x:f>
        <x:v>2.2307</x:v>
      </x:c>
      <x:c r="I165" s="10" t="n">
        <x:f>RawRecords!K197</x:f>
        <x:v>4301.3064</x:v>
      </x:c>
      <x:c r="J165" s="10" t="n">
        <x:f>RawRecords!L197</x:f>
        <x:v>52.1411</x:v>
      </x:c>
      <x:c r="K165" s="10" t="n">
        <x:f>RawRecords!M197</x:f>
        <x:v>43.6019</x:v>
      </x:c>
      <x:c r="L165" s="1" t="n">
        <x:v>24</x:v>
      </x:c>
      <x:c r="M165" s="1" t="n">
        <x:v>197</x:v>
      </x:c>
    </x:row>
    <x:row r="166" ht="23" customHeight="1">
      <x:c r="A166" s="1" t="n">
        <x:v>1</x:v>
      </x:c>
      <x:c r="B166" s="1" t="str">
        <x:v>HighSecurity</x:v>
      </x:c>
      <x:c r="C166" s="9" t="n">
        <x:f>RawRecords!A198</x:f>
        <x:v>46246.496056585645</x:v>
      </x:c>
      <x:c r="D166" s="10" t="n">
        <x:f>RawRecords!F198</x:f>
        <x:v>9.98</x:v>
      </x:c>
      <x:c r="E166" s="10" t="n">
        <x:f>RawRecords!G198</x:f>
        <x:v>2034.8775</x:v>
      </x:c>
      <x:c r="F166" s="10" t="n">
        <x:f>RawRecords!H198</x:f>
        <x:v>37.0376</x:v>
      </x:c>
      <x:c r="G166" s="10" t="n">
        <x:f>RawRecords!I198</x:f>
        <x:v>3390.3215</x:v>
      </x:c>
      <x:c r="H166" s="10" t="n">
        <x:f>RawRecords!J198</x:f>
        <x:v>2.5555</x:v>
      </x:c>
      <x:c r="I166" s="10" t="n">
        <x:f>RawRecords!K198</x:f>
        <x:v>5425.199</x:v>
      </x:c>
      <x:c r="J166" s="10" t="n">
        <x:f>RawRecords!L198</x:f>
        <x:v>49.5731</x:v>
      </x:c>
      <x:c r="K166" s="10" t="n">
        <x:f>RawRecords!M198</x:f>
        <x:v>41.1979</x:v>
      </x:c>
      <x:c r="L166" s="1" t="n">
        <x:v>25</x:v>
      </x:c>
      <x:c r="M166" s="1" t="n">
        <x:v>198</x:v>
      </x:c>
    </x:row>
    <x:row r="167" ht="23" customHeight="1">
      <x:c r="A167" s="1" t="n">
        <x:v>1</x:v>
      </x:c>
      <x:c r="B167" s="1" t="str">
        <x:v>HighSecurity</x:v>
      </x:c>
      <x:c r="C167" s="9" t="n">
        <x:f>RawRecords!A199</x:f>
        <x:v>46246.49593762732</x:v>
      </x:c>
      <x:c r="D167" s="10" t="n">
        <x:f>RawRecords!F199</x:f>
        <x:v>10.1335</x:v>
      </x:c>
      <x:c r="E167" s="10" t="n">
        <x:f>RawRecords!G199</x:f>
        <x:v>4839.8686</x:v>
      </x:c>
      <x:c r="F167" s="10" t="n">
        <x:f>RawRecords!H199</x:f>
        <x:v>37.5104</x:v>
      </x:c>
      <x:c r="G167" s="10" t="n">
        <x:f>RawRecords!I199</x:f>
        <x:v>1242.9574</x:v>
      </x:c>
      <x:c r="H167" s="10" t="n">
        <x:f>RawRecords!J199</x:f>
        <x:v>2.1738</x:v>
      </x:c>
      <x:c r="I167" s="10" t="n">
        <x:f>RawRecords!K199</x:f>
        <x:v>6082.826</x:v>
      </x:c>
      <x:c r="J167" s="10" t="n">
        <x:f>RawRecords!L199</x:f>
        <x:v>49.8177</x:v>
      </x:c>
      <x:c r="K167" s="10" t="n">
        <x:f>RawRecords!M199</x:f>
        <x:v>41.0364</x:v>
      </x:c>
      <x:c r="L167" s="1" t="n">
        <x:v>26</x:v>
      </x:c>
      <x:c r="M167" s="1" t="n">
        <x:v>199</x:v>
      </x:c>
    </x:row>
    <x:row r="168" ht="23" customHeight="1">
      <x:c r="A168" s="1" t="n">
        <x:v>1</x:v>
      </x:c>
      <x:c r="B168" s="1" t="str">
        <x:v>HighSecurity</x:v>
      </x:c>
      <x:c r="C168" s="9" t="n">
        <x:f>RawRecords!A200</x:f>
        <x:v>46246.49580517361</x:v>
      </x:c>
      <x:c r="D168" s="10" t="n">
        <x:f>RawRecords!F200</x:f>
        <x:v>10.906</x:v>
      </x:c>
      <x:c r="E168" s="10" t="n">
        <x:f>RawRecords!G200</x:f>
        <x:v>1925.7252</x:v>
      </x:c>
      <x:c r="F168" s="10" t="n">
        <x:f>RawRecords!H200</x:f>
        <x:v>37.7978</x:v>
      </x:c>
      <x:c r="G168" s="10" t="n">
        <x:f>RawRecords!I200</x:f>
        <x:v>805.6538</x:v>
      </x:c>
      <x:c r="H168" s="10" t="n">
        <x:f>RawRecords!J200</x:f>
        <x:v>2.2281</x:v>
      </x:c>
      <x:c r="I168" s="10" t="n">
        <x:f>RawRecords!K200</x:f>
        <x:v>2731.379</x:v>
      </x:c>
      <x:c r="J168" s="10" t="n">
        <x:f>RawRecords!L200</x:f>
        <x:v>50.9319</x:v>
      </x:c>
      <x:c r="K168" s="10" t="n">
        <x:f>RawRecords!M200</x:f>
        <x:v>41.2555</x:v>
      </x:c>
      <x:c r="L168" s="1" t="n">
        <x:v>27</x:v>
      </x:c>
      <x:c r="M168" s="1" t="n">
        <x:v>200</x:v>
      </x:c>
    </x:row>
    <x:row r="169" ht="23" customHeight="1">
      <x:c r="A169" s="1" t="n">
        <x:v>1</x:v>
      </x:c>
      <x:c r="B169" s="1" t="str">
        <x:v>HighSecurity</x:v>
      </x:c>
      <x:c r="C169" s="9" t="n">
        <x:f>RawRecords!A201</x:f>
        <x:v>46246.4957050463</x:v>
      </x:c>
      <x:c r="D169" s="10" t="n">
        <x:f>RawRecords!F201</x:f>
        <x:v>12.2478</x:v>
      </x:c>
      <x:c r="E169" s="10" t="n">
        <x:f>RawRecords!G201</x:f>
        <x:v>2309.9429</x:v>
      </x:c>
      <x:c r="F169" s="10" t="n">
        <x:f>RawRecords!H201</x:f>
        <x:v>40.3467</x:v>
      </x:c>
      <x:c r="G169" s="10" t="n">
        <x:f>RawRecords!I201</x:f>
        <x:v>12049.7387</x:v>
      </x:c>
      <x:c r="H169" s="10" t="n">
        <x:f>RawRecords!J201</x:f>
        <x:v>2.1822</x:v>
      </x:c>
      <x:c r="I169" s="10" t="n">
        <x:f>RawRecords!K201</x:f>
        <x:v>14359.6816</x:v>
      </x:c>
      <x:c r="J169" s="10" t="n">
        <x:f>RawRecords!L201</x:f>
        <x:v>54.7767</x:v>
      </x:c>
      <x:c r="K169" s="10" t="n">
        <x:f>RawRecords!M201</x:f>
        <x:v>43.7519</x:v>
      </x:c>
      <x:c r="L169" s="1" t="n">
        <x:v>28</x:v>
      </x:c>
      <x:c r="M169" s="1" t="n">
        <x:v>201</x:v>
      </x:c>
    </x:row>
    <x:row r="170" ht="23" customHeight="1">
      <x:c r="A170" s="1" t="n">
        <x:v>1</x:v>
      </x:c>
      <x:c r="B170" s="1" t="str">
        <x:v>HighSecurity</x:v>
      </x:c>
      <x:c r="C170" s="9" t="n">
        <x:f>RawRecords!A202</x:f>
        <x:v>46246.49547040509</x:v>
      </x:c>
      <x:c r="D170" s="10" t="n">
        <x:f>RawRecords!F202</x:f>
        <x:v>10.407</x:v>
      </x:c>
      <x:c r="E170" s="10" t="n">
        <x:f>RawRecords!G202</x:f>
        <x:v>2419.8375</x:v>
      </x:c>
      <x:c r="F170" s="10" t="n">
        <x:f>RawRecords!H202</x:f>
        <x:v>37.6135</x:v>
      </x:c>
      <x:c r="G170" s="10" t="n">
        <x:f>RawRecords!I202</x:f>
        <x:v>1235.6092</x:v>
      </x:c>
      <x:c r="H170" s="10" t="n">
        <x:f>RawRecords!J202</x:f>
        <x:v>2.311</x:v>
      </x:c>
      <x:c r="I170" s="10" t="n">
        <x:f>RawRecords!K202</x:f>
        <x:v>3655.4467</x:v>
      </x:c>
      <x:c r="J170" s="10" t="n">
        <x:f>RawRecords!L202</x:f>
        <x:v>50.3315</x:v>
      </x:c>
      <x:c r="K170" s="10" t="n">
        <x:f>RawRecords!M202</x:f>
        <x:v>41.2731</x:v>
      </x:c>
      <x:c r="L170" s="1" t="n">
        <x:v>29</x:v>
      </x:c>
      <x:c r="M170" s="1" t="n">
        <x:v>202</x:v>
      </x:c>
    </x:row>
    <x:row r="171" ht="23" customHeight="1">
      <x:c r="A171" s="1" t="n">
        <x:v>1</x:v>
      </x:c>
      <x:c r="B171" s="1" t="str">
        <x:v>HighSecurity</x:v>
      </x:c>
      <x:c r="C171" s="9" t="n">
        <x:f>RawRecords!A203</x:f>
        <x:v>46246.49536892361</x:v>
      </x:c>
      <x:c r="D171" s="10" t="n">
        <x:f>RawRecords!F203</x:f>
        <x:v>10.6694</x:v>
      </x:c>
      <x:c r="E171" s="10" t="n">
        <x:f>RawRecords!G203</x:f>
        <x:v>2915.4447</x:v>
      </x:c>
      <x:c r="F171" s="10" t="n">
        <x:f>RawRecords!H203</x:f>
        <x:v>37.7631</x:v>
      </x:c>
      <x:c r="G171" s="10" t="n">
        <x:f>RawRecords!I203</x:f>
        <x:v>2828.7711</x:v>
      </x:c>
      <x:c r="H171" s="10" t="n">
        <x:f>RawRecords!J203</x:f>
        <x:v>2.1948</x:v>
      </x:c>
      <x:c r="I171" s="10" t="n">
        <x:f>RawRecords!K203</x:f>
        <x:v>5744.2158</x:v>
      </x:c>
      <x:c r="J171" s="10" t="n">
        <x:f>RawRecords!L203</x:f>
        <x:v>50.6273</x:v>
      </x:c>
      <x:c r="K171" s="10" t="n">
        <x:f>RawRecords!M203</x:f>
        <x:v>41.0957</x:v>
      </x:c>
      <x:c r="L171" s="1" t="n">
        <x:v>30</x:v>
      </x:c>
      <x:c r="M171" s="1" t="n">
        <x:v>203</x:v>
      </x:c>
    </x:row>
    <x:row r="172" ht="23" customHeight="1">
      <x:c r="A172" s="1" t="n">
        <x:v>1</x:v>
      </x:c>
      <x:c r="B172" s="1" t="str">
        <x:v>HighSecurity</x:v>
      </x:c>
      <x:c r="C172" s="9" t="n">
        <x:f>RawRecords!A204</x:f>
        <x:v>46246.49524738426</x:v>
      </x:c>
      <x:c r="D172" s="10" t="n">
        <x:f>RawRecords!F204</x:f>
        <x:v>11.6177</x:v>
      </x:c>
      <x:c r="E172" s="10" t="n">
        <x:f>RawRecords!G204</x:f>
        <x:v>4180.8984</x:v>
      </x:c>
      <x:c r="F172" s="10" t="n">
        <x:f>RawRecords!H204</x:f>
        <x:v>37.5193</x:v>
      </x:c>
      <x:c r="G172" s="10" t="n">
        <x:f>RawRecords!I204</x:f>
        <x:v>1747.5331</x:v>
      </x:c>
      <x:c r="H172" s="10" t="n">
        <x:f>RawRecords!J204</x:f>
        <x:v>2.227</x:v>
      </x:c>
      <x:c r="I172" s="10" t="n">
        <x:f>RawRecords!K204</x:f>
        <x:v>5928.4315</x:v>
      </x:c>
      <x:c r="J172" s="10" t="n">
        <x:f>RawRecords!L204</x:f>
        <x:v>51.364</x:v>
      </x:c>
      <x:c r="K172" s="10" t="n">
        <x:f>RawRecords!M204</x:f>
        <x:v>41.1438</x:v>
      </x:c>
      <x:c r="L172" s="1" t="n">
        <x:v>31</x:v>
      </x:c>
      <x:c r="M172" s="1" t="n">
        <x:v>204</x:v>
      </x:c>
    </x:row>
    <x:row r="173" ht="23" customHeight="1">
      <x:c r="A173" s="1" t="n">
        <x:v>1</x:v>
      </x:c>
      <x:c r="B173" s="1" t="str">
        <x:v>HighSecurity</x:v>
      </x:c>
      <x:c r="C173" s="9" t="n">
        <x:f>RawRecords!A205</x:f>
        <x:v>46246.49511670139</x:v>
      </x:c>
      <x:c r="D173" s="10" t="n">
        <x:f>RawRecords!F205</x:f>
        <x:v>10.7024</x:v>
      </x:c>
      <x:c r="E173" s="10" t="n">
        <x:f>RawRecords!G205</x:f>
        <x:v>2034.7491</x:v>
      </x:c>
      <x:c r="F173" s="10" t="n">
        <x:f>RawRecords!H205</x:f>
        <x:v>39.6051</x:v>
      </x:c>
      <x:c r="G173" s="10" t="n">
        <x:f>RawRecords!I205</x:f>
        <x:v>1510.2548</x:v>
      </x:c>
      <x:c r="H173" s="10" t="n">
        <x:f>RawRecords!J205</x:f>
        <x:v>2.602</x:v>
      </x:c>
      <x:c r="I173" s="10" t="n">
        <x:f>RawRecords!K205</x:f>
        <x:v>3545.0039</x:v>
      </x:c>
      <x:c r="J173" s="10" t="n">
        <x:f>RawRecords!L205</x:f>
        <x:v>52.9095</x:v>
      </x:c>
      <x:c r="K173" s="10" t="n">
        <x:f>RawRecords!M205</x:f>
        <x:v>43.4543</x:v>
      </x:c>
      <x:c r="L173" s="1" t="n">
        <x:v>32</x:v>
      </x:c>
      <x:c r="M173" s="1" t="n">
        <x:v>205</x:v>
      </x:c>
    </x:row>
    <x:row r="174" ht="23" customHeight="1">
      <x:c r="A174" s="1" t="n">
        <x:v>1</x:v>
      </x:c>
      <x:c r="B174" s="1" t="str">
        <x:v>HighSecurity</x:v>
      </x:c>
      <x:c r="C174" s="9" t="n">
        <x:f>RawRecords!A206</x:f>
        <x:v>46246.49501025463</x:v>
      </x:c>
      <x:c r="D174" s="10" t="n">
        <x:f>RawRecords!F206</x:f>
        <x:v>12.0563</x:v>
      </x:c>
      <x:c r="E174" s="10" t="n">
        <x:f>RawRecords!G206</x:f>
        <x:v>1760.4236</x:v>
      </x:c>
      <x:c r="F174" s="10" t="n">
        <x:f>RawRecords!H206</x:f>
        <x:v>37.8999</x:v>
      </x:c>
      <x:c r="G174" s="10" t="n">
        <x:f>RawRecords!I206</x:f>
        <x:v>1124.9408</x:v>
      </x:c>
      <x:c r="H174" s="10" t="n">
        <x:f>RawRecords!J206</x:f>
        <x:v>2.4887</x:v>
      </x:c>
      <x:c r="I174" s="10" t="n">
        <x:f>RawRecords!K206</x:f>
        <x:v>2885.3644</x:v>
      </x:c>
      <x:c r="J174" s="10" t="n">
        <x:f>RawRecords!L206</x:f>
        <x:v>52.4449</x:v>
      </x:c>
      <x:c r="K174" s="10" t="n">
        <x:f>RawRecords!M206</x:f>
        <x:v>41.9431</x:v>
      </x:c>
      <x:c r="L174" s="1" t="n">
        <x:v>33</x:v>
      </x:c>
      <x:c r="M174" s="1" t="n">
        <x:v>206</x:v>
      </x:c>
    </x:row>
    <x:row r="175" ht="23" customHeight="1">
      <x:c r="A175" s="1" t="n">
        <x:v>1</x:v>
      </x:c>
      <x:c r="B175" s="1" t="str">
        <x:v>HighSecurity</x:v>
      </x:c>
      <x:c r="C175" s="9" t="n">
        <x:f>RawRecords!A207</x:f>
        <x:v>46246.49491447917</x:v>
      </x:c>
      <x:c r="D175" s="10" t="n">
        <x:f>RawRecords!F207</x:f>
        <x:v>12.5161</x:v>
      </x:c>
      <x:c r="E175" s="10" t="n">
        <x:f>RawRecords!G207</x:f>
        <x:v>2806.34</x:v>
      </x:c>
      <x:c r="F175" s="10" t="n">
        <x:f>RawRecords!H207</x:f>
        <x:v>43.0387</x:v>
      </x:c>
      <x:c r="G175" s="10" t="n">
        <x:f>RawRecords!I207</x:f>
        <x:v>2557.3675</x:v>
      </x:c>
      <x:c r="H175" s="10" t="n">
        <x:f>RawRecords!J207</x:f>
        <x:v>2.888</x:v>
      </x:c>
      <x:c r="I175" s="10" t="n">
        <x:f>RawRecords!K207</x:f>
        <x:v>5363.7075</x:v>
      </x:c>
      <x:c r="J175" s="10" t="n">
        <x:f>RawRecords!L207</x:f>
        <x:v>58.4428</x:v>
      </x:c>
      <x:c r="K175" s="10" t="n">
        <x:f>RawRecords!M207</x:f>
        <x:v>47.0185</x:v>
      </x:c>
      <x:c r="L175" s="1" t="n">
        <x:v>34</x:v>
      </x:c>
      <x:c r="M175" s="1" t="n">
        <x:v>207</x:v>
      </x:c>
    </x:row>
    <x:row r="176" ht="23" customHeight="1">
      <x:c r="A176" s="1" t="n">
        <x:v>1</x:v>
      </x:c>
      <x:c r="B176" s="1" t="str">
        <x:v>HighSecurity</x:v>
      </x:c>
      <x:c r="C176" s="9" t="n">
        <x:f>RawRecords!A208</x:f>
        <x:v>46246.49476259259</x:v>
      </x:c>
      <x:c r="D176" s="10" t="n">
        <x:f>RawRecords!F208</x:f>
        <x:v>11.8052</x:v>
      </x:c>
      <x:c r="E176" s="10" t="n">
        <x:f>RawRecords!G208</x:f>
        <x:v>1814.4472</x:v>
      </x:c>
      <x:c r="F176" s="10" t="n">
        <x:f>RawRecords!H208</x:f>
        <x:v>42.8249</x:v>
      </x:c>
      <x:c r="G176" s="10" t="n">
        <x:f>RawRecords!I208</x:f>
        <x:v>2036.8089</x:v>
      </x:c>
      <x:c r="H176" s="10" t="n">
        <x:f>RawRecords!J208</x:f>
        <x:v>2.1828</x:v>
      </x:c>
      <x:c r="I176" s="10" t="n">
        <x:f>RawRecords!K208</x:f>
        <x:v>3851.2561</x:v>
      </x:c>
      <x:c r="J176" s="10" t="n">
        <x:f>RawRecords!L208</x:f>
        <x:v>56.8129</x:v>
      </x:c>
      <x:c r="K176" s="10" t="n">
        <x:f>RawRecords!M208</x:f>
        <x:v>46.4643</x:v>
      </x:c>
      <x:c r="L176" s="1" t="n">
        <x:v>35</x:v>
      </x:c>
      <x:c r="M176" s="1" t="n">
        <x:v>208</x:v>
      </x:c>
    </x:row>
    <x:row r="177" ht="23" customHeight="1">
      <x:c r="A177" s="1" t="n">
        <x:v>1</x:v>
      </x:c>
      <x:c r="B177" s="1" t="str">
        <x:v>HighSecurity</x:v>
      </x:c>
      <x:c r="C177" s="9" t="n">
        <x:f>RawRecords!A209</x:f>
        <x:v>46246.49465717592</x:v>
      </x:c>
      <x:c r="D177" s="10" t="n">
        <x:f>RawRecords!F209</x:f>
        <x:v>10.5627</x:v>
      </x:c>
      <x:c r="E177" s="10" t="n">
        <x:f>RawRecords!G209</x:f>
        <x:v>1924.1624</x:v>
      </x:c>
      <x:c r="F177" s="10" t="n">
        <x:f>RawRecords!H209</x:f>
        <x:v>38.5987</x:v>
      </x:c>
      <x:c r="G177" s="10" t="n">
        <x:f>RawRecords!I209</x:f>
        <x:v>839.2146</x:v>
      </x:c>
      <x:c r="H177" s="10" t="n">
        <x:f>RawRecords!J209</x:f>
        <x:v>2.1683</x:v>
      </x:c>
      <x:c r="I177" s="10" t="n">
        <x:f>RawRecords!K209</x:f>
        <x:v>2763.377</x:v>
      </x:c>
      <x:c r="J177" s="10" t="n">
        <x:f>RawRecords!L209</x:f>
        <x:v>51.3297</x:v>
      </x:c>
      <x:c r="K177" s="10" t="n">
        <x:f>RawRecords!M209</x:f>
        <x:v>42.4425</x:v>
      </x:c>
      <x:c r="L177" s="1" t="n">
        <x:v>36</x:v>
      </x:c>
      <x:c r="M177" s="1" t="n">
        <x:v>209</x:v>
      </x:c>
    </x:row>
    <x:row r="178" ht="23" customHeight="1">
      <x:c r="A178" s="1" t="n">
        <x:v>1</x:v>
      </x:c>
      <x:c r="B178" s="1" t="str">
        <x:v>HighSecurity</x:v>
      </x:c>
      <x:c r="C178" s="9" t="n">
        <x:f>RawRecords!A210</x:f>
        <x:v>46246.49456334491</x:v>
      </x:c>
      <x:c r="D178" s="10" t="n">
        <x:f>RawRecords!F210</x:f>
        <x:v>10.5146</x:v>
      </x:c>
      <x:c r="E178" s="10" t="n">
        <x:f>RawRecords!G210</x:f>
        <x:v>2365.2108</x:v>
      </x:c>
      <x:c r="F178" s="10" t="n">
        <x:f>RawRecords!H210</x:f>
        <x:v>39.6395</x:v>
      </x:c>
      <x:c r="G178" s="10" t="n">
        <x:f>RawRecords!I210</x:f>
        <x:v>808.7504</x:v>
      </x:c>
      <x:c r="H178" s="10" t="n">
        <x:f>RawRecords!J210</x:f>
        <x:v>2.5582</x:v>
      </x:c>
      <x:c r="I178" s="10" t="n">
        <x:f>RawRecords!K210</x:f>
        <x:v>3173.9612</x:v>
      </x:c>
      <x:c r="J178" s="10" t="n">
        <x:f>RawRecords!L210</x:f>
        <x:v>52.7123</x:v>
      </x:c>
      <x:c r="K178" s="10" t="n">
        <x:f>RawRecords!M210</x:f>
        <x:v>43.5745</x:v>
      </x:c>
      <x:c r="L178" s="1" t="n">
        <x:v>37</x:v>
      </x:c>
      <x:c r="M178" s="1" t="n">
        <x:v>210</x:v>
      </x:c>
    </x:row>
    <x:row r="179" ht="23" customHeight="1">
      <x:c r="A179" s="1" t="n">
        <x:v>1</x:v>
      </x:c>
      <x:c r="B179" s="1" t="str">
        <x:v>HighSecurity</x:v>
      </x:c>
      <x:c r="C179" s="9" t="n">
        <x:f>RawRecords!A211</x:f>
        <x:v>46246.49446887731</x:v>
      </x:c>
      <x:c r="D179" s="10" t="n">
        <x:f>RawRecords!F211</x:f>
        <x:v>11.0434</x:v>
      </x:c>
      <x:c r="E179" s="10" t="n">
        <x:f>RawRecords!G211</x:f>
        <x:v>1815.0758</x:v>
      </x:c>
      <x:c r="F179" s="10" t="n">
        <x:f>RawRecords!H211</x:f>
        <x:v>39.0855</x:v>
      </x:c>
      <x:c r="G179" s="10" t="n">
        <x:f>RawRecords!I211</x:f>
        <x:v>1369.7825</x:v>
      </x:c>
      <x:c r="H179" s="10" t="n">
        <x:f>RawRecords!J211</x:f>
        <x:v>2.4337</x:v>
      </x:c>
      <x:c r="I179" s="10" t="n">
        <x:f>RawRecords!K211</x:f>
        <x:v>3184.8583</x:v>
      </x:c>
      <x:c r="J179" s="10" t="n">
        <x:f>RawRecords!L211</x:f>
        <x:v>52.5626</x:v>
      </x:c>
      <x:c r="K179" s="10" t="n">
        <x:f>RawRecords!M211</x:f>
        <x:v>42.7731</x:v>
      </x:c>
      <x:c r="L179" s="1" t="n">
        <x:v>38</x:v>
      </x:c>
      <x:c r="M179" s="1" t="n">
        <x:v>211</x:v>
      </x:c>
    </x:row>
    <x:row r="180" ht="23" customHeight="1">
      <x:c r="A180" s="1" t="n">
        <x:v>1</x:v>
      </x:c>
      <x:c r="B180" s="1" t="str">
        <x:v>HighSecurity</x:v>
      </x:c>
      <x:c r="C180" s="9" t="n">
        <x:f>RawRecords!A212</x:f>
        <x:v>46246.494368009255</x:v>
      </x:c>
      <x:c r="D180" s="10" t="n">
        <x:f>RawRecords!F212</x:f>
        <x:v>11.4144</x:v>
      </x:c>
      <x:c r="E180" s="10" t="n">
        <x:f>RawRecords!G212</x:f>
        <x:v>1540.161</x:v>
      </x:c>
      <x:c r="F180" s="10" t="n">
        <x:f>RawRecords!H212</x:f>
        <x:v>39.1916</x:v>
      </x:c>
      <x:c r="G180" s="10" t="n">
        <x:f>RawRecords!I212</x:f>
        <x:v>1109.2793</x:v>
      </x:c>
      <x:c r="H180" s="10" t="n">
        <x:f>RawRecords!J212</x:f>
        <x:v>2.1392</x:v>
      </x:c>
      <x:c r="I180" s="10" t="n">
        <x:f>RawRecords!K212</x:f>
        <x:v>2649.4403</x:v>
      </x:c>
      <x:c r="J180" s="10" t="n">
        <x:f>RawRecords!L212</x:f>
        <x:v>52.7452</x:v>
      </x:c>
      <x:c r="K180" s="10" t="n">
        <x:f>RawRecords!M212</x:f>
        <x:v>42.8213</x:v>
      </x:c>
      <x:c r="L180" s="1" t="n">
        <x:v>39</x:v>
      </x:c>
      <x:c r="M180" s="1" t="n">
        <x:v>212</x:v>
      </x:c>
    </x:row>
    <x:row r="181" ht="23" customHeight="1">
      <x:c r="A181" s="1" t="n">
        <x:v>1</x:v>
      </x:c>
      <x:c r="B181" s="1" t="str">
        <x:v>HighSecurity</x:v>
      </x:c>
      <x:c r="C181" s="9" t="n">
        <x:f>RawRecords!A213</x:f>
        <x:v>46246.49427019676</x:v>
      </x:c>
      <x:c r="D181" s="10" t="n">
        <x:f>RawRecords!F213</x:f>
        <x:v>12.3779</x:v>
      </x:c>
      <x:c r="E181" s="10" t="n">
        <x:f>RawRecords!G213</x:f>
        <x:v>1650.0844</x:v>
      </x:c>
      <x:c r="F181" s="10" t="n">
        <x:f>RawRecords!H213</x:f>
        <x:v>39.3899</x:v>
      </x:c>
      <x:c r="G181" s="10" t="n">
        <x:f>RawRecords!I213</x:f>
        <x:v>1247.2888</x:v>
      </x:c>
      <x:c r="H181" s="10" t="n">
        <x:f>RawRecords!J213</x:f>
        <x:v>2.3</x:v>
      </x:c>
      <x:c r="I181" s="10" t="n">
        <x:f>RawRecords!K213</x:f>
        <x:v>2897.3732</x:v>
      </x:c>
      <x:c r="J181" s="10" t="n">
        <x:f>RawRecords!L213</x:f>
        <x:v>54.0678</x:v>
      </x:c>
      <x:c r="K181" s="10" t="n">
        <x:f>RawRecords!M213</x:f>
        <x:v>43.1331</x:v>
      </x:c>
      <x:c r="L181" s="1" t="n">
        <x:v>40</x:v>
      </x:c>
      <x:c r="M181" s="1" t="n">
        <x:v>213</x:v>
      </x:c>
    </x:row>
    <x:row r="182" ht="23" customHeight="1">
      <x:c r="A182" s="1" t="n">
        <x:v>1</x:v>
      </x:c>
      <x:c r="B182" s="1" t="str">
        <x:v>HighSecurity</x:v>
      </x:c>
      <x:c r="C182" s="9" t="n">
        <x:f>RawRecords!A214</x:f>
        <x:v>46246.49416393519</x:v>
      </x:c>
      <x:c r="D182" s="10" t="n">
        <x:f>RawRecords!F214</x:f>
        <x:v>9.1249</x:v>
      </x:c>
      <x:c r="E182" s="10" t="n">
        <x:f>RawRecords!G214</x:f>
        <x:v>2090.1684</x:v>
      </x:c>
      <x:c r="F182" s="10" t="n">
        <x:f>RawRecords!H214</x:f>
        <x:v>45.5822</x:v>
      </x:c>
      <x:c r="G182" s="10" t="n">
        <x:f>RawRecords!I214</x:f>
        <x:v>1790.5724</x:v>
      </x:c>
      <x:c r="H182" s="10" t="n">
        <x:f>RawRecords!J214</x:f>
        <x:v>2.539</x:v>
      </x:c>
      <x:c r="I182" s="10" t="n">
        <x:f>RawRecords!K214</x:f>
        <x:v>3880.7408</x:v>
      </x:c>
      <x:c r="J182" s="10" t="n">
        <x:f>RawRecords!L214</x:f>
        <x:v>57.2461</x:v>
      </x:c>
      <x:c r="K182" s="10" t="n">
        <x:f>RawRecords!M214</x:f>
        <x:v>47.1166</x:v>
      </x:c>
      <x:c r="L182" s="1" t="n">
        <x:v>41</x:v>
      </x:c>
      <x:c r="M182" s="1" t="n">
        <x:v>214</x:v>
      </x:c>
    </x:row>
    <x:row r="183" ht="23" customHeight="1">
      <x:c r="A183" s="1" t="n">
        <x:v>1</x:v>
      </x:c>
      <x:c r="B183" s="1" t="str">
        <x:v>HighSecurity</x:v>
      </x:c>
      <x:c r="C183" s="9" t="n">
        <x:f>RawRecords!A235</x:f>
        <x:v>46246.49325443287</x:v>
      </x:c>
      <x:c r="D183" s="10" t="n">
        <x:f>RawRecords!F235</x:f>
        <x:v>12.1274</x:v>
      </x:c>
      <x:c r="E183" s="10" t="n">
        <x:f>RawRecords!G235</x:f>
        <x:v>1925.1</x:v>
      </x:c>
      <x:c r="F183" s="10" t="n">
        <x:f>RawRecords!H235</x:f>
        <x:v>38.636</x:v>
      </x:c>
      <x:c r="G183" s="10" t="n">
        <x:f>RawRecords!I235</x:f>
        <x:v>1890.0657</x:v>
      </x:c>
      <x:c r="H183" s="10" t="n">
        <x:f>RawRecords!J235</x:f>
        <x:v>2.2281</x:v>
      </x:c>
      <x:c r="I183" s="10" t="n">
        <x:f>RawRecords!K235</x:f>
        <x:v>3815.1657</x:v>
      </x:c>
      <x:c r="J183" s="10" t="n">
        <x:f>RawRecords!L235</x:f>
        <x:v>52.9915</x:v>
      </x:c>
      <x:c r="K183" s="10" t="n">
        <x:f>RawRecords!M235</x:f>
        <x:v>44.6643</x:v>
      </x:c>
      <x:c r="L183" s="1" t="n">
        <x:v>62</x:v>
      </x:c>
      <x:c r="M183" s="1" t="n">
        <x:v>235</x:v>
      </x:c>
    </x:row>
    <x:row r="184" ht="23" customHeight="1">
      <x:c r="A184" s="1" t="n">
        <x:v>1</x:v>
      </x:c>
      <x:c r="B184" s="1" t="str">
        <x:v>HighSecurity</x:v>
      </x:c>
      <x:c r="C184" s="9" t="n">
        <x:f>RawRecords!A236</x:f>
        <x:v>46246.49312945602</x:v>
      </x:c>
      <x:c r="D184" s="10" t="n">
        <x:f>RawRecords!F236</x:f>
        <x:v>11.5205</x:v>
      </x:c>
      <x:c r="E184" s="10" t="n">
        <x:f>RawRecords!G236</x:f>
        <x:v>2530.1987</x:v>
      </x:c>
      <x:c r="F184" s="10" t="n">
        <x:f>RawRecords!H236</x:f>
        <x:v>37.8638</x:v>
      </x:c>
      <x:c r="G184" s="10" t="n">
        <x:f>RawRecords!I236</x:f>
        <x:v>5664.2764</x:v>
      </x:c>
      <x:c r="H184" s="10" t="n">
        <x:f>RawRecords!J236</x:f>
        <x:v>2.2019</x:v>
      </x:c>
      <x:c r="I184" s="10" t="n">
        <x:f>RawRecords!K236</x:f>
        <x:v>8194.4751</x:v>
      </x:c>
      <x:c r="J184" s="10" t="n">
        <x:f>RawRecords!L236</x:f>
        <x:v>51.5862</x:v>
      </x:c>
      <x:c r="K184" s="10" t="n">
        <x:f>RawRecords!M236</x:f>
        <x:v>41.4209</x:v>
      </x:c>
      <x:c r="L184" s="1" t="n">
        <x:v>63</x:v>
      </x:c>
      <x:c r="M184" s="1" t="n">
        <x:v>236</x:v>
      </x:c>
    </x:row>
    <x:row r="185" ht="23" customHeight="1">
      <x:c r="A185" s="1" t="n">
        <x:v>1</x:v>
      </x:c>
      <x:c r="B185" s="1" t="str">
        <x:v>HighSecurity</x:v>
      </x:c>
      <x:c r="C185" s="9" t="n">
        <x:f>RawRecords!A237</x:f>
        <x:v>46246.49297366898</x:v>
      </x:c>
      <x:c r="D185" s="10" t="n">
        <x:f>RawRecords!F237</x:f>
        <x:v>10.5566</x:v>
      </x:c>
      <x:c r="E185" s="10" t="n">
        <x:f>RawRecords!G237</x:f>
        <x:v>1979.5687</x:v>
      </x:c>
      <x:c r="F185" s="10" t="n">
        <x:f>RawRecords!H237</x:f>
        <x:v>36.9881</x:v>
      </x:c>
      <x:c r="G185" s="10" t="n">
        <x:f>RawRecords!I237</x:f>
        <x:v>3925.5795</x:v>
      </x:c>
      <x:c r="H185" s="10" t="n">
        <x:f>RawRecords!J237</x:f>
        <x:v>2.6018</x:v>
      </x:c>
      <x:c r="I185" s="10" t="n">
        <x:f>RawRecords!K237</x:f>
        <x:v>5905.1482</x:v>
      </x:c>
      <x:c r="J185" s="10" t="n">
        <x:f>RawRecords!L237</x:f>
        <x:v>50.1465</x:v>
      </x:c>
      <x:c r="K185" s="10" t="n">
        <x:f>RawRecords!M237</x:f>
        <x:v>41.4191</x:v>
      </x:c>
      <x:c r="L185" s="1" t="n">
        <x:v>64</x:v>
      </x:c>
      <x:c r="M185" s="1" t="n">
        <x:v>237</x:v>
      </x:c>
    </x:row>
    <x:row r="186" ht="23" customHeight="1">
      <x:c r="A186" s="1" t="n">
        <x:v>1</x:v>
      </x:c>
      <x:c r="B186" s="1" t="str">
        <x:v>HighSecurity</x:v>
      </x:c>
      <x:c r="C186" s="9" t="n">
        <x:f>RawRecords!A238</x:f>
        <x:v>46246.49283806713</x:v>
      </x:c>
      <x:c r="D186" s="10" t="n">
        <x:f>RawRecords!F238</x:f>
        <x:v>12.5767</x:v>
      </x:c>
      <x:c r="E186" s="10" t="n">
        <x:f>RawRecords!G238</x:f>
        <x:v>1925.1164</x:v>
      </x:c>
      <x:c r="F186" s="10" t="n">
        <x:f>RawRecords!H238</x:f>
        <x:v>65.5057</x:v>
      </x:c>
      <x:c r="G186" s="10" t="n">
        <x:f>RawRecords!I238</x:f>
        <x:v>2557.1977</x:v>
      </x:c>
      <x:c r="H186" s="10" t="n">
        <x:f>RawRecords!J238</x:f>
        <x:v>2.2258</x:v>
      </x:c>
      <x:c r="I186" s="10" t="n">
        <x:f>RawRecords!K238</x:f>
        <x:v>4482.3141</x:v>
      </x:c>
      <x:c r="J186" s="10" t="n">
        <x:f>RawRecords!L238</x:f>
        <x:v>80.3082</x:v>
      </x:c>
      <x:c r="K186" s="10" t="n">
        <x:f>RawRecords!M238</x:f>
        <x:v>71.2306</x:v>
      </x:c>
      <x:c r="L186" s="1" t="n">
        <x:v>65</x:v>
      </x:c>
      <x:c r="M186" s="1" t="n">
        <x:v>238</x:v>
      </x:c>
    </x:row>
    <x:row r="187" ht="23" customHeight="1">
      <x:c r="A187" s="1" t="n">
        <x:v>1</x:v>
      </x:c>
      <x:c r="B187" s="1" t="str">
        <x:v>HighSecurity</x:v>
      </x:c>
      <x:c r="C187" s="9" t="n">
        <x:f>RawRecords!A239</x:f>
        <x:v>46246.492718333335</x:v>
      </x:c>
      <x:c r="D187" s="10" t="n">
        <x:f>RawRecords!F239</x:f>
        <x:v>11.5423</x:v>
      </x:c>
      <x:c r="E187" s="10" t="n">
        <x:f>RawRecords!G239</x:f>
        <x:v>2145.153</x:v>
      </x:c>
      <x:c r="F187" s="10" t="n">
        <x:f>RawRecords!H239</x:f>
        <x:v>37.5819</x:v>
      </x:c>
      <x:c r="G187" s="10" t="n">
        <x:f>RawRecords!I239</x:f>
        <x:v>7791.0387</x:v>
      </x:c>
      <x:c r="H187" s="10" t="n">
        <x:f>RawRecords!J239</x:f>
        <x:v>2.331</x:v>
      </x:c>
      <x:c r="I187" s="10" t="n">
        <x:f>RawRecords!K239</x:f>
        <x:v>9936.1917</x:v>
      </x:c>
      <x:c r="J187" s="10" t="n">
        <x:f>RawRecords!L239</x:f>
        <x:v>51.4552</x:v>
      </x:c>
      <x:c r="K187" s="10" t="n">
        <x:f>RawRecords!M239</x:f>
        <x:v>41.3659</x:v>
      </x:c>
      <x:c r="L187" s="1" t="n">
        <x:v>66</x:v>
      </x:c>
      <x:c r="M187" s="1" t="n">
        <x:v>239</x:v>
      </x:c>
    </x:row>
    <x:row r="188" ht="23" customHeight="1">
      <x:c r="A188" s="1" t="n">
        <x:v>1</x:v>
      </x:c>
      <x:c r="B188" s="1" t="str">
        <x:v>HighSecurity</x:v>
      </x:c>
      <x:c r="C188" s="9" t="n">
        <x:f>RawRecords!A240</x:f>
        <x:v>46246.49253815972</x:v>
      </x:c>
      <x:c r="D188" s="10" t="n">
        <x:f>RawRecords!F240</x:f>
        <x:v>10.8767</x:v>
      </x:c>
      <x:c r="E188" s="10" t="n">
        <x:f>RawRecords!G240</x:f>
        <x:v>1924.7961</x:v>
      </x:c>
      <x:c r="F188" s="10" t="n">
        <x:f>RawRecords!H240</x:f>
        <x:v>36.7509</x:v>
      </x:c>
      <x:c r="G188" s="10" t="n">
        <x:f>RawRecords!I240</x:f>
        <x:v>2311.1559</x:v>
      </x:c>
      <x:c r="H188" s="10" t="n">
        <x:f>RawRecords!J240</x:f>
        <x:v>3.1594</x:v>
      </x:c>
      <x:c r="I188" s="10" t="n">
        <x:f>RawRecords!K240</x:f>
        <x:v>4235.952</x:v>
      </x:c>
      <x:c r="J188" s="10" t="n">
        <x:f>RawRecords!L240</x:f>
        <x:v>50.787</x:v>
      </x:c>
      <x:c r="K188" s="10" t="n">
        <x:f>RawRecords!M240</x:f>
        <x:v>40.8938</x:v>
      </x:c>
      <x:c r="L188" s="1" t="n">
        <x:v>67</x:v>
      </x:c>
      <x:c r="M188" s="1" t="n">
        <x:v>240</x:v>
      </x:c>
    </x:row>
    <x:row r="189" ht="23" customHeight="1">
      <x:c r="A189" s="1" t="n">
        <x:v>1</x:v>
      </x:c>
      <x:c r="B189" s="1" t="str">
        <x:v>HighSecurity</x:v>
      </x:c>
      <x:c r="C189" s="9" t="n">
        <x:f>RawRecords!A241</x:f>
        <x:v>46246.49240844908</x:v>
      </x:c>
      <x:c r="D189" s="10" t="n">
        <x:f>RawRecords!F241</x:f>
        <x:v>11.5762</x:v>
      </x:c>
      <x:c r="E189" s="10" t="n">
        <x:f>RawRecords!G241</x:f>
        <x:v>1869.8894</x:v>
      </x:c>
      <x:c r="F189" s="10" t="n">
        <x:f>RawRecords!H241</x:f>
        <x:v>39.3931</x:v>
      </x:c>
      <x:c r="G189" s="10" t="n">
        <x:f>RawRecords!I241</x:f>
        <x:v>6732.897</x:v>
      </x:c>
      <x:c r="H189" s="10" t="n">
        <x:f>RawRecords!J241</x:f>
        <x:v>2.7689</x:v>
      </x:c>
      <x:c r="I189" s="10" t="n">
        <x:f>RawRecords!K241</x:f>
        <x:v>8602.7864</x:v>
      </x:c>
      <x:c r="J189" s="10" t="n">
        <x:f>RawRecords!L241</x:f>
        <x:v>53.7382</x:v>
      </x:c>
      <x:c r="K189" s="10" t="n">
        <x:f>RawRecords!M241</x:f>
        <x:v>43.1042</x:v>
      </x:c>
      <x:c r="L189" s="1" t="n">
        <x:v>68</x:v>
      </x:c>
      <x:c r="M189" s="1" t="n">
        <x:v>241</x:v>
      </x:c>
    </x:row>
    <x:row r="190" ht="23" customHeight="1">
      <x:c r="A190" s="1" t="n">
        <x:v>1</x:v>
      </x:c>
      <x:c r="B190" s="1" t="str">
        <x:v>HighSecurity</x:v>
      </x:c>
      <x:c r="C190" s="9" t="n">
        <x:f>RawRecords!A242</x:f>
        <x:v>46246.492236018516</x:v>
      </x:c>
      <x:c r="D190" s="10" t="n">
        <x:f>RawRecords!F242</x:f>
        <x:v>12.1926</x:v>
      </x:c>
      <x:c r="E190" s="10" t="n">
        <x:f>RawRecords!G242</x:f>
        <x:v>2969.3892</x:v>
      </x:c>
      <x:c r="F190" s="10" t="n">
        <x:f>RawRecords!H242</x:f>
        <x:v>37.6681</x:v>
      </x:c>
      <x:c r="G190" s="10" t="n">
        <x:f>RawRecords!I242</x:f>
        <x:v>2825.5251</x:v>
      </x:c>
      <x:c r="H190" s="10" t="n">
        <x:f>RawRecords!J242</x:f>
        <x:v>2.3051</x:v>
      </x:c>
      <x:c r="I190" s="10" t="n">
        <x:f>RawRecords!K242</x:f>
        <x:v>5794.9143</x:v>
      </x:c>
      <x:c r="J190" s="10" t="n">
        <x:f>RawRecords!L242</x:f>
        <x:v>52.1658</x:v>
      </x:c>
      <x:c r="K190" s="10" t="n">
        <x:f>RawRecords!M242</x:f>
        <x:v>41.3355</x:v>
      </x:c>
      <x:c r="L190" s="1" t="n">
        <x:v>69</x:v>
      </x:c>
      <x:c r="M190" s="1" t="n">
        <x:v>242</x:v>
      </x:c>
    </x:row>
    <x:row r="191" ht="23" customHeight="1">
      <x:c r="A191" s="1" t="n">
        <x:v>1</x:v>
      </x:c>
      <x:c r="B191" s="1" t="str">
        <x:v>HighSecurity</x:v>
      </x:c>
      <x:c r="C191" s="9" t="n">
        <x:f>RawRecords!A244</x:f>
        <x:v>46246.4918879051</x:v>
      </x:c>
      <x:c r="D191" s="10" t="n">
        <x:f>RawRecords!F244</x:f>
        <x:v>11.8254</x:v>
      </x:c>
      <x:c r="E191" s="10" t="n">
        <x:f>RawRecords!G244</x:f>
        <x:v>5003.7845</x:v>
      </x:c>
      <x:c r="F191" s="10" t="n">
        <x:f>RawRecords!H244</x:f>
        <x:v>41.0659</x:v>
      </x:c>
      <x:c r="G191" s="10" t="n">
        <x:f>RawRecords!I244</x:f>
        <x:v>1480.6729</x:v>
      </x:c>
      <x:c r="H191" s="10" t="n">
        <x:f>RawRecords!J244</x:f>
        <x:v>2.5006</x:v>
      </x:c>
      <x:c r="I191" s="10" t="n">
        <x:f>RawRecords!K244</x:f>
        <x:v>6484.4574</x:v>
      </x:c>
      <x:c r="J191" s="10" t="n">
        <x:f>RawRecords!L244</x:f>
        <x:v>55.3919</x:v>
      </x:c>
      <x:c r="K191" s="10" t="n">
        <x:f>RawRecords!M244</x:f>
        <x:v>45.0356</x:v>
      </x:c>
      <x:c r="L191" s="1" t="n">
        <x:v>71</x:v>
      </x:c>
      <x:c r="M191" s="1" t="n">
        <x:v>244</x:v>
      </x:c>
    </x:row>
    <x:row r="192" ht="23" customHeight="1">
      <x:c r="A192" s="1" t="n">
        <x:v>1</x:v>
      </x:c>
      <x:c r="B192" s="1" t="str">
        <x:v>HighSecurity</x:v>
      </x:c>
      <x:c r="C192" s="9" t="n">
        <x:f>RawRecords!A245</x:f>
        <x:v>46246.491739791665</x:v>
      </x:c>
      <x:c r="D192" s="10" t="n">
        <x:f>RawRecords!F245</x:f>
        <x:v>12.5702</x:v>
      </x:c>
      <x:c r="E192" s="10" t="n">
        <x:f>RawRecords!G245</x:f>
        <x:v>2144.2912</x:v>
      </x:c>
      <x:c r="F192" s="10" t="n">
        <x:f>RawRecords!H245</x:f>
        <x:v>40.2944</x:v>
      </x:c>
      <x:c r="G192" s="10" t="n">
        <x:f>RawRecords!I245</x:f>
        <x:v>2044.0121</x:v>
      </x:c>
      <x:c r="H192" s="10" t="n">
        <x:f>RawRecords!J245</x:f>
        <x:v>2.3082</x:v>
      </x:c>
      <x:c r="I192" s="10" t="n">
        <x:f>RawRecords!K245</x:f>
        <x:v>4188.3033</x:v>
      </x:c>
      <x:c r="J192" s="10" t="n">
        <x:f>RawRecords!L245</x:f>
        <x:v>55.1728</x:v>
      </x:c>
      <x:c r="K192" s="10" t="n">
        <x:f>RawRecords!M245</x:f>
        <x:v>44.1285</x:v>
      </x:c>
      <x:c r="L192" s="1" t="n">
        <x:v>72</x:v>
      </x:c>
      <x:c r="M192" s="1" t="n">
        <x:v>245</x:v>
      </x:c>
    </x:row>
    <x:row r="193" ht="23" customHeight="1">
      <x:c r="A193" s="1" t="n">
        <x:v>1</x:v>
      </x:c>
      <x:c r="B193" s="1" t="str">
        <x:v>HighSecurity</x:v>
      </x:c>
      <x:c r="C193" s="9" t="n">
        <x:f>RawRecords!A246</x:f>
        <x:v>46246.49161938658</x:v>
      </x:c>
      <x:c r="D193" s="10" t="n">
        <x:f>RawRecords!F246</x:f>
        <x:v>9.5029</x:v>
      </x:c>
      <x:c r="E193" s="10" t="n">
        <x:f>RawRecords!G246</x:f>
        <x:v>2200.2078</x:v>
      </x:c>
      <x:c r="F193" s="10" t="n">
        <x:f>RawRecords!H246</x:f>
        <x:v>37.6775</x:v>
      </x:c>
      <x:c r="G193" s="10" t="n">
        <x:f>RawRecords!I246</x:f>
        <x:v>1360.8931</x:v>
      </x:c>
      <x:c r="H193" s="10" t="n">
        <x:f>RawRecords!J246</x:f>
        <x:v>2.2625</x:v>
      </x:c>
      <x:c r="I193" s="10" t="n">
        <x:f>RawRecords!K246</x:f>
        <x:v>3561.1009</x:v>
      </x:c>
      <x:c r="J193" s="10" t="n">
        <x:f>RawRecords!L246</x:f>
        <x:v>49.4429</x:v>
      </x:c>
      <x:c r="K193" s="10" t="n">
        <x:f>RawRecords!M246</x:f>
        <x:v>38.9862</x:v>
      </x:c>
      <x:c r="L193" s="1" t="n">
        <x:v>73</x:v>
      </x:c>
      <x:c r="M193" s="1" t="n">
        <x:v>246</x:v>
      </x:c>
    </x:row>
    <x:row r="194" ht="23" customHeight="1">
      <x:c r="A194" s="1" t="n">
        <x:v>1</x:v>
      </x:c>
      <x:c r="B194" s="1" t="str">
        <x:v>HighSecurity</x:v>
      </x:c>
      <x:c r="C194" s="9" t="n">
        <x:f>RawRecords!A247</x:f>
        <x:v>46246.49152416667</x:v>
      </x:c>
      <x:c r="D194" s="10" t="n">
        <x:f>RawRecords!F247</x:f>
        <x:v>12.0386</x:v>
      </x:c>
      <x:c r="E194" s="10" t="n">
        <x:f>RawRecords!G247</x:f>
        <x:v>1649.6888</x:v>
      </x:c>
      <x:c r="F194" s="10" t="n">
        <x:f>RawRecords!H247</x:f>
        <x:v>40.2008</x:v>
      </x:c>
      <x:c r="G194" s="10" t="n">
        <x:f>RawRecords!I247</x:f>
        <x:v>3239.6114</x:v>
      </x:c>
      <x:c r="H194" s="10" t="n">
        <x:f>RawRecords!J247</x:f>
        <x:v>2.2457</x:v>
      </x:c>
      <x:c r="I194" s="10" t="n">
        <x:f>RawRecords!K247</x:f>
        <x:v>4889.3002</x:v>
      </x:c>
      <x:c r="J194" s="10" t="n">
        <x:f>RawRecords!L247</x:f>
        <x:v>54.4851</x:v>
      </x:c>
      <x:c r="K194" s="10" t="n">
        <x:f>RawRecords!M247</x:f>
        <x:v>43.866</x:v>
      </x:c>
      <x:c r="L194" s="1" t="n">
        <x:v>74</x:v>
      </x:c>
      <x:c r="M194" s="1" t="n">
        <x:v>247</x:v>
      </x:c>
    </x:row>
    <x:row r="195" ht="23" customHeight="1">
      <x:c r="A195" s="1" t="n">
        <x:v>1</x:v>
      </x:c>
      <x:c r="B195" s="1" t="str">
        <x:v>HighSecurity</x:v>
      </x:c>
      <x:c r="C195" s="9" t="n">
        <x:f>RawRecords!A248</x:f>
        <x:v>46246.49141047454</x:v>
      </x:c>
      <x:c r="D195" s="10" t="n">
        <x:f>RawRecords!F248</x:f>
        <x:v>11.1351</x:v>
      </x:c>
      <x:c r="E195" s="10" t="n">
        <x:f>RawRecords!G248</x:f>
        <x:v>1649.7336</x:v>
      </x:c>
      <x:c r="F195" s="10" t="n">
        <x:f>RawRecords!H248</x:f>
        <x:v>38.5237</x:v>
      </x:c>
      <x:c r="G195" s="10" t="n">
        <x:f>RawRecords!I248</x:f>
        <x:v>2421.8858</x:v>
      </x:c>
      <x:c r="H195" s="10" t="n">
        <x:f>RawRecords!J248</x:f>
        <x:v>2.5</x:v>
      </x:c>
      <x:c r="I195" s="10" t="n">
        <x:f>RawRecords!K248</x:f>
        <x:v>4071.6194</x:v>
      </x:c>
      <x:c r="J195" s="10" t="n">
        <x:f>RawRecords!L248</x:f>
        <x:v>52.1588</x:v>
      </x:c>
      <x:c r="K195" s="10" t="n">
        <x:f>RawRecords!M248</x:f>
        <x:v>42.0673</x:v>
      </x:c>
      <x:c r="L195" s="1" t="n">
        <x:v>75</x:v>
      </x:c>
      <x:c r="M195" s="1" t="n">
        <x:v>248</x:v>
      </x:c>
    </x:row>
    <x:row r="196" ht="23" customHeight="1">
      <x:c r="A196" s="1" t="n">
        <x:v>1</x:v>
      </x:c>
      <x:c r="B196" s="1" t="str">
        <x:v>HighSecurity</x:v>
      </x:c>
      <x:c r="C196" s="9" t="n">
        <x:f>RawRecords!A249</x:f>
        <x:v>46246.491295451386</x:v>
      </x:c>
      <x:c r="D196" s="10" t="n">
        <x:f>RawRecords!F249</x:f>
        <x:v>11.3582</x:v>
      </x:c>
      <x:c r="E196" s="10" t="n">
        <x:f>RawRecords!G249</x:f>
        <x:v>2201.3012</x:v>
      </x:c>
      <x:c r="F196" s="10" t="n">
        <x:f>RawRecords!H249</x:f>
        <x:v>37.1452</x:v>
      </x:c>
      <x:c r="G196" s="10" t="n">
        <x:f>RawRecords!I249</x:f>
        <x:v>4579.5064</x:v>
      </x:c>
      <x:c r="H196" s="10" t="n">
        <x:f>RawRecords!J249</x:f>
        <x:v>2.4661</x:v>
      </x:c>
      <x:c r="I196" s="10" t="n">
        <x:f>RawRecords!K249</x:f>
        <x:v>6780.8076</x:v>
      </x:c>
      <x:c r="J196" s="10" t="n">
        <x:f>RawRecords!L249</x:f>
        <x:v>50.9695</x:v>
      </x:c>
      <x:c r="K196" s="10" t="n">
        <x:f>RawRecords!M249</x:f>
        <x:v>41.1205</x:v>
      </x:c>
      <x:c r="L196" s="1" t="n">
        <x:v>76</x:v>
      </x:c>
      <x:c r="M196" s="1" t="n">
        <x:v>249</x:v>
      </x:c>
    </x:row>
    <x:row r="197" ht="23" customHeight="1">
      <x:c r="A197" s="1" t="n">
        <x:v>1</x:v>
      </x:c>
      <x:c r="B197" s="1" t="str">
        <x:v>HighSecurity</x:v>
      </x:c>
      <x:c r="C197" s="9" t="n">
        <x:f>RawRecords!A250</x:f>
        <x:v>46246.49115065973</x:v>
      </x:c>
      <x:c r="D197" s="10" t="n">
        <x:f>RawRecords!F250</x:f>
        <x:v>13.0227</x:v>
      </x:c>
      <x:c r="E197" s="10" t="n">
        <x:f>RawRecords!G250</x:f>
        <x:v>1540.1891</x:v>
      </x:c>
      <x:c r="F197" s="10" t="n">
        <x:f>RawRecords!H250</x:f>
        <x:v>38.3093</x:v>
      </x:c>
      <x:c r="G197" s="10" t="n">
        <x:f>RawRecords!I250</x:f>
        <x:v>4158.9881</x:v>
      </x:c>
      <x:c r="H197" s="10" t="n">
        <x:f>RawRecords!J250</x:f>
        <x:v>2.4821</x:v>
      </x:c>
      <x:c r="I197" s="10" t="n">
        <x:f>RawRecords!K250</x:f>
        <x:v>5699.1772</x:v>
      </x:c>
      <x:c r="J197" s="10" t="n">
        <x:f>RawRecords!L250</x:f>
        <x:v>53.8141</x:v>
      </x:c>
      <x:c r="K197" s="10" t="n">
        <x:f>RawRecords!M250</x:f>
        <x:v>44.443</x:v>
      </x:c>
      <x:c r="L197" s="1" t="n">
        <x:v>77</x:v>
      </x:c>
      <x:c r="M197" s="1" t="n">
        <x:v>250</x:v>
      </x:c>
    </x:row>
    <x:row r="198" ht="23" customHeight="1">
      <x:c r="A198" s="1" t="n">
        <x:v>1</x:v>
      </x:c>
      <x:c r="B198" s="1" t="str">
        <x:v>HighSecurity</x:v>
      </x:c>
      <x:c r="C198" s="9" t="n">
        <x:f>RawRecords!A251</x:f>
        <x:v>46246.491023078706</x:v>
      </x:c>
      <x:c r="D198" s="10" t="n">
        <x:f>RawRecords!F251</x:f>
        <x:v>12.1309</x:v>
      </x:c>
      <x:c r="E198" s="10" t="n">
        <x:f>RawRecords!G251</x:f>
        <x:v>1760.1259</x:v>
      </x:c>
      <x:c r="F198" s="10" t="n">
        <x:f>RawRecords!H251</x:f>
        <x:v>38.0521</x:v>
      </x:c>
      <x:c r="G198" s="10" t="n">
        <x:f>RawRecords!I251</x:f>
        <x:v>3626.1503</x:v>
      </x:c>
      <x:c r="H198" s="10" t="n">
        <x:f>RawRecords!J251</x:f>
        <x:v>2.5611</x:v>
      </x:c>
      <x:c r="I198" s="10" t="n">
        <x:f>RawRecords!K251</x:f>
        <x:v>5386.2762</x:v>
      </x:c>
      <x:c r="J198" s="10" t="n">
        <x:f>RawRecords!L251</x:f>
        <x:v>52.7441</x:v>
      </x:c>
      <x:c r="K198" s="10" t="n">
        <x:f>RawRecords!M251</x:f>
        <x:v>41.984</x:v>
      </x:c>
      <x:c r="L198" s="1" t="n">
        <x:v>78</x:v>
      </x:c>
      <x:c r="M198" s="1" t="n">
        <x:v>251</x:v>
      </x:c>
    </x:row>
    <x:row r="199" ht="23" customHeight="1">
      <x:c r="A199" s="1" t="n">
        <x:v>1</x:v>
      </x:c>
      <x:c r="B199" s="1" t="str">
        <x:v>HighSecurity</x:v>
      </x:c>
      <x:c r="C199" s="9" t="n">
        <x:f>RawRecords!A252</x:f>
        <x:v>46246.49088805556</x:v>
      </x:c>
      <x:c r="D199" s="10" t="n">
        <x:f>RawRecords!F252</x:f>
        <x:v>10.5358</x:v>
      </x:c>
      <x:c r="E199" s="10" t="n">
        <x:f>RawRecords!G252</x:f>
        <x:v>2144.9561</x:v>
      </x:c>
      <x:c r="F199" s="10" t="n">
        <x:f>RawRecords!H252</x:f>
        <x:v>38.131</x:v>
      </x:c>
      <x:c r="G199" s="10" t="n">
        <x:f>RawRecords!I252</x:f>
        <x:v>2994.6639</x:v>
      </x:c>
      <x:c r="H199" s="10" t="n">
        <x:f>RawRecords!J252</x:f>
        <x:v>2.3234</x:v>
      </x:c>
      <x:c r="I199" s="10" t="n">
        <x:f>RawRecords!K252</x:f>
        <x:v>5139.62</x:v>
      </x:c>
      <x:c r="J199" s="10" t="n">
        <x:f>RawRecords!L252</x:f>
        <x:v>50.9902</x:v>
      </x:c>
      <x:c r="K199" s="10" t="n">
        <x:f>RawRecords!M252</x:f>
        <x:v>41.7199</x:v>
      </x:c>
      <x:c r="L199" s="1" t="n">
        <x:v>79</x:v>
      </x:c>
      <x:c r="M199" s="1" t="n">
        <x:v>252</x:v>
      </x:c>
    </x:row>
    <x:row r="200" ht="23" customHeight="1">
      <x:c r="A200" s="1" t="n">
        <x:v>1</x:v>
      </x:c>
      <x:c r="B200" s="1" t="str">
        <x:v>HighSecurity</x:v>
      </x:c>
      <x:c r="C200" s="9" t="n">
        <x:f>RawRecords!A253</x:f>
        <x:v>46246.49077023148</x:v>
      </x:c>
      <x:c r="D200" s="10" t="n">
        <x:f>RawRecords!F253</x:f>
        <x:v>12.2043</x:v>
      </x:c>
      <x:c r="E200" s="10" t="n">
        <x:f>RawRecords!G253</x:f>
        <x:v>2364.9687</x:v>
      </x:c>
      <x:c r="F200" s="10" t="n">
        <x:f>RawRecords!H253</x:f>
        <x:v>37.386</x:v>
      </x:c>
      <x:c r="G200" s="10" t="n">
        <x:f>RawRecords!I253</x:f>
        <x:v>2840.1087</x:v>
      </x:c>
      <x:c r="H200" s="10" t="n">
        <x:f>RawRecords!J253</x:f>
        <x:v>2.3332</x:v>
      </x:c>
      <x:c r="I200" s="10" t="n">
        <x:f>RawRecords!K253</x:f>
        <x:v>5205.0774</x:v>
      </x:c>
      <x:c r="J200" s="10" t="n">
        <x:f>RawRecords!L253</x:f>
        <x:v>51.9235</x:v>
      </x:c>
      <x:c r="K200" s="10" t="n">
        <x:f>RawRecords!M253</x:f>
        <x:v>43.0632</x:v>
      </x:c>
      <x:c r="L200" s="1" t="n">
        <x:v>80</x:v>
      </x:c>
      <x:c r="M200" s="1" t="n">
        <x:v>253</x:v>
      </x:c>
    </x:row>
    <x:row r="201" ht="23" customHeight="1">
      <x:c r="A201" s="1" t="n">
        <x:v>1</x:v>
      </x:c>
      <x:c r="B201" s="1" t="str">
        <x:v>HighSecurity</x:v>
      </x:c>
      <x:c r="C201" s="9" t="n">
        <x:f>RawRecords!A254</x:f>
        <x:v>46246.49064422454</x:v>
      </x:c>
      <x:c r="D201" s="10" t="n">
        <x:f>RawRecords!F254</x:f>
        <x:v>11.2171</x:v>
      </x:c>
      <x:c r="E201" s="10" t="n">
        <x:f>RawRecords!G254</x:f>
        <x:v>3245.6574</x:v>
      </x:c>
      <x:c r="F201" s="10" t="n">
        <x:f>RawRecords!H254</x:f>
        <x:v>39.9912</x:v>
      </x:c>
      <x:c r="G201" s="10" t="n">
        <x:f>RawRecords!I254</x:f>
        <x:v>2451.9428</x:v>
      </x:c>
      <x:c r="H201" s="10" t="n">
        <x:f>RawRecords!J254</x:f>
        <x:v>2.6672</x:v>
      </x:c>
      <x:c r="I201" s="10" t="n">
        <x:f>RawRecords!K254</x:f>
        <x:v>5697.6002</x:v>
      </x:c>
      <x:c r="J201" s="10" t="n">
        <x:f>RawRecords!L254</x:f>
        <x:v>53.8755</x:v>
      </x:c>
      <x:c r="K201" s="10" t="n">
        <x:f>RawRecords!M254</x:f>
        <x:v>44.4799</x:v>
      </x:c>
      <x:c r="L201" s="1" t="n">
        <x:v>81</x:v>
      </x:c>
      <x:c r="M201" s="1" t="n">
        <x:v>254</x:v>
      </x:c>
    </x:row>
    <x:row r="202" ht="23" customHeight="1">
      <x:c r="A202" s="1" t="n">
        <x:v>1</x:v>
      </x:c>
      <x:c r="B202" s="1" t="str">
        <x:v>HighSecurity</x:v>
      </x:c>
      <x:c r="C202" s="9" t="n">
        <x:f>RawRecords!A255</x:f>
        <x:v>46246.49047979167</x:v>
      </x:c>
      <x:c r="D202" s="10" t="n">
        <x:f>RawRecords!F255</x:f>
        <x:v>11.0423</x:v>
      </x:c>
      <x:c r="E202" s="10" t="n">
        <x:f>RawRecords!G255</x:f>
        <x:v>2364.4221</x:v>
      </x:c>
      <x:c r="F202" s="10" t="n">
        <x:f>RawRecords!H255</x:f>
        <x:v>37.4702</x:v>
      </x:c>
      <x:c r="G202" s="10" t="n">
        <x:f>RawRecords!I255</x:f>
        <x:v>2620.6918</x:v>
      </x:c>
      <x:c r="H202" s="10" t="n">
        <x:f>RawRecords!J255</x:f>
        <x:v>3.4947</x:v>
      </x:c>
      <x:c r="I202" s="10" t="n">
        <x:f>RawRecords!K255</x:f>
        <x:v>4985.1139</x:v>
      </x:c>
      <x:c r="J202" s="10" t="n">
        <x:f>RawRecords!L255</x:f>
        <x:v>52.0072</x:v>
      </x:c>
      <x:c r="K202" s="10" t="n">
        <x:f>RawRecords!M255</x:f>
        <x:v>39.0732</x:v>
      </x:c>
      <x:c r="L202" s="1" t="n">
        <x:v>82</x:v>
      </x:c>
      <x:c r="M202" s="1" t="n">
        <x:v>255</x:v>
      </x:c>
    </x:row>
    <x:row r="203" ht="23" customHeight="1">
      <x:c r="A203" s="1" t="n">
        <x:v>2</x:v>
      </x:c>
      <x:c r="B203" s="1" t="str">
        <x:v>HighSecurity</x:v>
      </x:c>
      <x:c r="C203" s="9" t="n">
        <x:f>RawRecords!A392</x:f>
        <x:v>46247.4521596875</x:v>
      </x:c>
      <x:c r="D203" s="10" t="n">
        <x:f>RawRecords!F392</x:f>
        <x:v>45.6845</x:v>
      </x:c>
      <x:c r="E203" s="10" t="n">
        <x:f>RawRecords!G392</x:f>
        <x:v>4675.1722</x:v>
      </x:c>
      <x:c r="F203" s="10" t="n">
        <x:f>RawRecords!H392</x:f>
        <x:v>38.3887</x:v>
      </x:c>
      <x:c r="G203" s="10" t="n">
        <x:f>RawRecords!I392</x:f>
        <x:v>1812.7718</x:v>
      </x:c>
      <x:c r="H203" s="10" t="n">
        <x:f>RawRecords!J392</x:f>
        <x:v>2.2883</x:v>
      </x:c>
      <x:c r="I203" s="10" t="n">
        <x:f>RawRecords!K392</x:f>
        <x:v>6487.944</x:v>
      </x:c>
      <x:c r="J203" s="10" t="n">
        <x:f>RawRecords!L392</x:f>
        <x:v>86.3615</x:v>
      </x:c>
      <x:c r="K203" s="10" t="n">
        <x:f>RawRecords!M392</x:f>
        <x:v>77.6242</x:v>
      </x:c>
      <x:c r="L203" s="1" t="n">
        <x:v>12</x:v>
      </x:c>
      <x:c r="M203" s="1" t="n">
        <x:v>392</x:v>
      </x:c>
    </x:row>
    <x:row r="204" ht="23" customHeight="1">
      <x:c r="A204" s="1" t="n">
        <x:v>2</x:v>
      </x:c>
      <x:c r="B204" s="1" t="str">
        <x:v>HighSecurity</x:v>
      </x:c>
      <x:c r="C204" s="9" t="n">
        <x:f>RawRecords!A393</x:f>
        <x:v>46247.45203284722</x:v>
      </x:c>
      <x:c r="D204" s="10" t="n">
        <x:f>RawRecords!F393</x:f>
        <x:v>11.1522</x:v>
      </x:c>
      <x:c r="E204" s="10" t="n">
        <x:f>RawRecords!G393</x:f>
        <x:v>1485.3974</x:v>
      </x:c>
      <x:c r="F204" s="10" t="n">
        <x:f>RawRecords!H393</x:f>
        <x:v>39.7432</x:v>
      </x:c>
      <x:c r="G204" s="10" t="n">
        <x:f>RawRecords!I393</x:f>
        <x:v>1621.1158</x:v>
      </x:c>
      <x:c r="H204" s="10" t="n">
        <x:f>RawRecords!J393</x:f>
        <x:v>2.202</x:v>
      </x:c>
      <x:c r="I204" s="10" t="n">
        <x:f>RawRecords!K393</x:f>
        <x:v>3106.5132</x:v>
      </x:c>
      <x:c r="J204" s="10" t="n">
        <x:f>RawRecords!L393</x:f>
        <x:v>53.0974</x:v>
      </x:c>
      <x:c r="K204" s="10" t="n">
        <x:f>RawRecords!M393</x:f>
        <x:v>43.6123</x:v>
      </x:c>
      <x:c r="L204" s="1" t="n">
        <x:v>13</x:v>
      </x:c>
      <x:c r="M204" s="1" t="n">
        <x:v>393</x:v>
      </x:c>
    </x:row>
    <x:row r="205" ht="23" customHeight="1">
      <x:c r="A205" s="1" t="n">
        <x:v>2</x:v>
      </x:c>
      <x:c r="B205" s="1" t="str">
        <x:v>HighSecurity</x:v>
      </x:c>
      <x:c r="C205" s="9" t="n">
        <x:f>RawRecords!A394</x:f>
        <x:v>46247.451938171296</x:v>
      </x:c>
      <x:c r="D205" s="10" t="n">
        <x:f>RawRecords!F394</x:f>
        <x:v>10.7347</x:v>
      </x:c>
      <x:c r="E205" s="10" t="n">
        <x:f>RawRecords!G394</x:f>
        <x:v>1540.3347</x:v>
      </x:c>
      <x:c r="F205" s="10" t="n">
        <x:f>RawRecords!H394</x:f>
        <x:v>38.4925</x:v>
      </x:c>
      <x:c r="G205" s="10" t="n">
        <x:f>RawRecords!I394</x:f>
        <x:v>2640.7084</x:v>
      </x:c>
      <x:c r="H205" s="10" t="n">
        <x:f>RawRecords!J394</x:f>
        <x:v>2.2107</x:v>
      </x:c>
      <x:c r="I205" s="10" t="n">
        <x:f>RawRecords!K394</x:f>
        <x:v>4181.0431</x:v>
      </x:c>
      <x:c r="J205" s="10" t="n">
        <x:f>RawRecords!L394</x:f>
        <x:v>51.4379</x:v>
      </x:c>
      <x:c r="K205" s="10" t="n">
        <x:f>RawRecords!M394</x:f>
        <x:v>42.3285</x:v>
      </x:c>
      <x:c r="L205" s="1" t="n">
        <x:v>14</x:v>
      </x:c>
      <x:c r="M205" s="1" t="n">
        <x:v>394</x:v>
      </x:c>
    </x:row>
    <x:row r="206" ht="23" customHeight="1">
      <x:c r="A206" s="1" t="n">
        <x:v>2</x:v>
      </x:c>
      <x:c r="B206" s="1" t="str">
        <x:v>HighSecurity</x:v>
      </x:c>
      <x:c r="C206" s="9" t="n">
        <x:f>RawRecords!A395</x:f>
        <x:v>46247.45182966435</x:v>
      </x:c>
      <x:c r="D206" s="10" t="n">
        <x:f>RawRecords!F395</x:f>
        <x:v>11.811</x:v>
      </x:c>
      <x:c r="E206" s="10" t="n">
        <x:f>RawRecords!G395</x:f>
        <x:v>1925.1477</x:v>
      </x:c>
      <x:c r="F206" s="10" t="n">
        <x:f>RawRecords!H395</x:f>
        <x:v>40.3519</x:v>
      </x:c>
      <x:c r="G206" s="10" t="n">
        <x:f>RawRecords!I395</x:f>
        <x:v>1944.3458</x:v>
      </x:c>
      <x:c r="H206" s="10" t="n">
        <x:f>RawRecords!J395</x:f>
        <x:v>2.4486</x:v>
      </x:c>
      <x:c r="I206" s="10" t="n">
        <x:f>RawRecords!K395</x:f>
        <x:v>3869.4935</x:v>
      </x:c>
      <x:c r="J206" s="10" t="n">
        <x:f>RawRecords!L395</x:f>
        <x:v>54.6115</x:v>
      </x:c>
      <x:c r="K206" s="10" t="n">
        <x:f>RawRecords!M395</x:f>
        <x:v>44.2587</x:v>
      </x:c>
      <x:c r="L206" s="1" t="n">
        <x:v>15</x:v>
      </x:c>
      <x:c r="M206" s="1" t="n">
        <x:v>395</x:v>
      </x:c>
    </x:row>
    <x:row r="207" ht="23" customHeight="1">
      <x:c r="A207" s="1" t="n">
        <x:v>2</x:v>
      </x:c>
      <x:c r="B207" s="1" t="str">
        <x:v>HighSecurity</x:v>
      </x:c>
      <x:c r="C207" s="9" t="n">
        <x:f>RawRecords!A397</x:f>
        <x:v>46247.45151126158</x:v>
      </x:c>
      <x:c r="D207" s="10" t="n">
        <x:f>RawRecords!F397</x:f>
        <x:v>12.9192</x:v>
      </x:c>
      <x:c r="E207" s="10" t="n">
        <x:f>RawRecords!G397</x:f>
        <x:v>1369.9422</x:v>
      </x:c>
      <x:c r="F207" s="10" t="n">
        <x:f>RawRecords!H397</x:f>
        <x:v>39.0385</x:v>
      </x:c>
      <x:c r="G207" s="10" t="n">
        <x:f>RawRecords!I397</x:f>
        <x:v>1600.4491</x:v>
      </x:c>
      <x:c r="H207" s="10" t="n">
        <x:f>RawRecords!J397</x:f>
        <x:v>2.9562</x:v>
      </x:c>
      <x:c r="I207" s="10" t="n">
        <x:f>RawRecords!K397</x:f>
        <x:v>2970.3913</x:v>
      </x:c>
      <x:c r="J207" s="10" t="n">
        <x:f>RawRecords!L397</x:f>
        <x:v>54.9139</x:v>
      </x:c>
      <x:c r="K207" s="10" t="n">
        <x:f>RawRecords!M397</x:f>
        <x:v>45.1423</x:v>
      </x:c>
      <x:c r="L207" s="1" t="n">
        <x:v>17</x:v>
      </x:c>
      <x:c r="M207" s="1" t="n">
        <x:v>397</x:v>
      </x:c>
    </x:row>
    <x:row r="208" ht="23" customHeight="1">
      <x:c r="A208" s="1" t="n">
        <x:v>2</x:v>
      </x:c>
      <x:c r="B208" s="1" t="str">
        <x:v>HighSecurity</x:v>
      </x:c>
      <x:c r="C208" s="9" t="n">
        <x:f>RawRecords!A398</x:f>
        <x:v>46247.45142612269</x:v>
      </x:c>
      <x:c r="D208" s="10" t="n">
        <x:f>RawRecords!F398</x:f>
        <x:v>11.9364</x:v>
      </x:c>
      <x:c r="E208" s="10" t="n">
        <x:f>RawRecords!G398</x:f>
        <x:v>1540.0822</x:v>
      </x:c>
      <x:c r="F208" s="10" t="n">
        <x:f>RawRecords!H398</x:f>
        <x:v>37.7491</x:v>
      </x:c>
      <x:c r="G208" s="10" t="n">
        <x:f>RawRecords!I398</x:f>
        <x:v>995.0347</x:v>
      </x:c>
      <x:c r="H208" s="10" t="n">
        <x:f>RawRecords!J398</x:f>
        <x:v>2.6239</x:v>
      </x:c>
      <x:c r="I208" s="10" t="n">
        <x:f>RawRecords!K398</x:f>
        <x:v>2535.1169</x:v>
      </x:c>
      <x:c r="J208" s="10" t="n">
        <x:f>RawRecords!L398</x:f>
        <x:v>52.3094</x:v>
      </x:c>
      <x:c r="K208" s="10" t="n">
        <x:f>RawRecords!M398</x:f>
        <x:v>43.4555</x:v>
      </x:c>
      <x:c r="L208" s="1" t="n">
        <x:v>18</x:v>
      </x:c>
      <x:c r="M208" s="1" t="n">
        <x:v>398</x:v>
      </x:c>
    </x:row>
    <x:row r="209" ht="23" customHeight="1">
      <x:c r="A209" s="1" t="n">
        <x:v>2</x:v>
      </x:c>
      <x:c r="B209" s="1" t="str">
        <x:v>HighSecurity</x:v>
      </x:c>
      <x:c r="C209" s="9" t="n">
        <x:f>RawRecords!A399</x:f>
        <x:v>46247.45133974537</x:v>
      </x:c>
      <x:c r="D209" s="10" t="n">
        <x:f>RawRecords!F399</x:f>
        <x:v>10.0953</x:v>
      </x:c>
      <x:c r="E209" s="10" t="n">
        <x:f>RawRecords!G399</x:f>
        <x:v>2310.4388</x:v>
      </x:c>
      <x:c r="F209" s="10" t="n">
        <x:f>RawRecords!H399</x:f>
        <x:v>39.9808</x:v>
      </x:c>
      <x:c r="G209" s="10" t="n">
        <x:f>RawRecords!I399</x:f>
        <x:v>1824.2732</x:v>
      </x:c>
      <x:c r="H209" s="10" t="n">
        <x:f>RawRecords!J399</x:f>
        <x:v>2.7335</x:v>
      </x:c>
      <x:c r="I209" s="10" t="n">
        <x:f>RawRecords!K399</x:f>
        <x:v>4134.712</x:v>
      </x:c>
      <x:c r="J209" s="10" t="n">
        <x:f>RawRecords!L399</x:f>
        <x:v>52.8096</x:v>
      </x:c>
      <x:c r="K209" s="10" t="n">
        <x:f>RawRecords!M399</x:f>
        <x:v>44.2609</x:v>
      </x:c>
      <x:c r="L209" s="1" t="n">
        <x:v>19</x:v>
      </x:c>
      <x:c r="M209" s="1" t="n">
        <x:v>399</x:v>
      </x:c>
    </x:row>
    <x:row r="210" ht="23" customHeight="1">
      <x:c r="A210" s="1" t="n">
        <x:v>2</x:v>
      </x:c>
      <x:c r="B210" s="1" t="str">
        <x:v>HighSecurity</x:v>
      </x:c>
      <x:c r="C210" s="9" t="n">
        <x:f>RawRecords!A400</x:f>
        <x:v>46247.451239710645</x:v>
      </x:c>
      <x:c r="D210" s="10" t="n">
        <x:f>RawRecords!F400</x:f>
        <x:v>11.4884</x:v>
      </x:c>
      <x:c r="E210" s="10" t="n">
        <x:f>RawRecords!G400</x:f>
        <x:v>1430.2473</x:v>
      </x:c>
      <x:c r="F210" s="10" t="n">
        <x:f>RawRecords!H400</x:f>
        <x:v>40.4332</x:v>
      </x:c>
      <x:c r="G210" s="10" t="n">
        <x:f>RawRecords!I400</x:f>
        <x:v>4675.6423</x:v>
      </x:c>
      <x:c r="H210" s="10" t="n">
        <x:f>RawRecords!J400</x:f>
        <x:v>4.3945</x:v>
      </x:c>
      <x:c r="I210" s="10" t="n">
        <x:f>RawRecords!K400</x:f>
        <x:v>6105.8896</x:v>
      </x:c>
      <x:c r="J210" s="10" t="n">
        <x:f>RawRecords!L400</x:f>
        <x:v>56.3161</x:v>
      </x:c>
      <x:c r="K210" s="10" t="n">
        <x:f>RawRecords!M400</x:f>
        <x:v>47.7947</x:v>
      </x:c>
      <x:c r="L210" s="1" t="n">
        <x:v>20</x:v>
      </x:c>
      <x:c r="M210" s="1" t="n">
        <x:v>400</x:v>
      </x:c>
    </x:row>
    <x:row r="211" ht="23" customHeight="1">
      <x:c r="A211" s="1" t="n">
        <x:v>2</x:v>
      </x:c>
      <x:c r="B211" s="1" t="str">
        <x:v>HighSecurity</x:v>
      </x:c>
      <x:c r="C211" s="9" t="n">
        <x:f>RawRecords!A401</x:f>
        <x:v>46247.451114166666</x:v>
      </x:c>
      <x:c r="D211" s="10" t="n">
        <x:f>RawRecords!F401</x:f>
        <x:v>11.5316</x:v>
      </x:c>
      <x:c r="E211" s="10" t="n">
        <x:f>RawRecords!G401</x:f>
        <x:v>1539.7754</x:v>
      </x:c>
      <x:c r="F211" s="10" t="n">
        <x:f>RawRecords!H401</x:f>
        <x:v>40.462</x:v>
      </x:c>
      <x:c r="G211" s="10" t="n">
        <x:f>RawRecords!I401</x:f>
        <x:v>1287.0173</x:v>
      </x:c>
      <x:c r="H211" s="10" t="n">
        <x:f>RawRecords!J401</x:f>
        <x:v>2.6277</x:v>
      </x:c>
      <x:c r="I211" s="10" t="n">
        <x:f>RawRecords!K401</x:f>
        <x:v>2826.7927</x:v>
      </x:c>
      <x:c r="J211" s="10" t="n">
        <x:f>RawRecords!L401</x:f>
        <x:v>54.6213</x:v>
      </x:c>
      <x:c r="K211" s="10" t="n">
        <x:f>RawRecords!M401</x:f>
        <x:v>45.33</x:v>
      </x:c>
      <x:c r="L211" s="1" t="n">
        <x:v>21</x:v>
      </x:c>
      <x:c r="M211" s="1" t="n">
        <x:v>401</x:v>
      </x:c>
    </x:row>
    <x:row r="212" ht="23" customHeight="1">
      <x:c r="A212" s="1" t="n">
        <x:v>2</x:v>
      </x:c>
      <x:c r="B212" s="1" t="str">
        <x:v>HighSecurity</x:v>
      </x:c>
      <x:c r="C212" s="9" t="n">
        <x:f>RawRecords!A402</x:f>
        <x:v>46247.451026145834</x:v>
      </x:c>
      <x:c r="D212" s="10" t="n">
        <x:f>RawRecords!F402</x:f>
        <x:v>13.3034</x:v>
      </x:c>
      <x:c r="E212" s="10" t="n">
        <x:f>RawRecords!G402</x:f>
        <x:v>1374.5115</x:v>
      </x:c>
      <x:c r="F212" s="10" t="n">
        <x:f>RawRecords!H402</x:f>
        <x:v>39.6257</x:v>
      </x:c>
      <x:c r="G212" s="10" t="n">
        <x:f>RawRecords!I402</x:f>
        <x:v>1984.5111</x:v>
      </x:c>
      <x:c r="H212" s="10" t="n">
        <x:f>RawRecords!J402</x:f>
        <x:v>2.4376</x:v>
      </x:c>
      <x:c r="I212" s="10" t="n">
        <x:f>RawRecords!K402</x:f>
        <x:v>3359.0226</x:v>
      </x:c>
      <x:c r="J212" s="10" t="n">
        <x:f>RawRecords!L402</x:f>
        <x:v>55.3667</x:v>
      </x:c>
      <x:c r="K212" s="10" t="n">
        <x:f>RawRecords!M402</x:f>
        <x:v>41.304</x:v>
      </x:c>
      <x:c r="L212" s="1" t="n">
        <x:v>22</x:v>
      </x:c>
      <x:c r="M212" s="1" t="n">
        <x:v>402</x:v>
      </x:c>
    </x:row>
    <x:row r="213" ht="23" customHeight="1">
      <x:c r="A213" s="1" t="n">
        <x:v>2</x:v>
      </x:c>
      <x:c r="B213" s="1" t="str">
        <x:v>HighSecurity</x:v>
      </x:c>
      <x:c r="C213" s="9" t="n">
        <x:f>RawRecords!A423</x:f>
        <x:v>46247.45022467592</x:v>
      </x:c>
      <x:c r="D213" s="10" t="n">
        <x:f>RawRecords!F423</x:f>
        <x:v>12.0634</x:v>
      </x:c>
      <x:c r="E213" s="10" t="n">
        <x:f>RawRecords!G423</x:f>
        <x:v>1539.899</x:v>
      </x:c>
      <x:c r="F213" s="10" t="n">
        <x:f>RawRecords!H423</x:f>
        <x:v>36.7527</x:v>
      </x:c>
      <x:c r="G213" s="10" t="n">
        <x:f>RawRecords!I423</x:f>
        <x:v>2855.459</x:v>
      </x:c>
      <x:c r="H213" s="10" t="n">
        <x:f>RawRecords!J423</x:f>
        <x:v>2.6227</x:v>
      </x:c>
      <x:c r="I213" s="10" t="n">
        <x:f>RawRecords!K423</x:f>
        <x:v>4395.358</x:v>
      </x:c>
      <x:c r="J213" s="10" t="n">
        <x:f>RawRecords!L423</x:f>
        <x:v>51.4388</x:v>
      </x:c>
      <x:c r="K213" s="10" t="n">
        <x:f>RawRecords!M423</x:f>
        <x:v>42.1898</x:v>
      </x:c>
      <x:c r="L213" s="1" t="n">
        <x:v>43</x:v>
      </x:c>
      <x:c r="M213" s="1" t="n">
        <x:v>423</x:v>
      </x:c>
    </x:row>
    <x:row r="214" ht="23" customHeight="1">
      <x:c r="A214" s="1" t="n">
        <x:v>2</x:v>
      </x:c>
      <x:c r="B214" s="1" t="str">
        <x:v>HighSecurity</x:v>
      </x:c>
      <x:c r="C214" s="9" t="n">
        <x:f>RawRecords!A424</x:f>
        <x:v>46247.45011612268</x:v>
      </x:c>
      <x:c r="D214" s="10" t="n">
        <x:f>RawRecords!F424</x:f>
        <x:v>12.0754</x:v>
      </x:c>
      <x:c r="E214" s="10" t="n">
        <x:f>RawRecords!G424</x:f>
        <x:v>2420.254</x:v>
      </x:c>
      <x:c r="F214" s="10" t="n">
        <x:f>RawRecords!H424</x:f>
        <x:v>42.2801</x:v>
      </x:c>
      <x:c r="G214" s="10" t="n">
        <x:f>RawRecords!I424</x:f>
        <x:v>1231.9285</x:v>
      </x:c>
      <x:c r="H214" s="10" t="n">
        <x:f>RawRecords!J424</x:f>
        <x:v>2.4278</x:v>
      </x:c>
      <x:c r="I214" s="10" t="n">
        <x:f>RawRecords!K424</x:f>
        <x:v>3652.1825</x:v>
      </x:c>
      <x:c r="J214" s="10" t="n">
        <x:f>RawRecords!L424</x:f>
        <x:v>56.7833</x:v>
      </x:c>
      <x:c r="K214" s="10" t="n">
        <x:f>RawRecords!M424</x:f>
        <x:v>46.1683</x:v>
      </x:c>
      <x:c r="L214" s="1" t="n">
        <x:v>44</x:v>
      </x:c>
      <x:c r="M214" s="1" t="n">
        <x:v>424</x:v>
      </x:c>
    </x:row>
    <x:row r="215" ht="23" customHeight="1">
      <x:c r="A215" s="1" t="n">
        <x:v>2</x:v>
      </x:c>
      <x:c r="B215" s="1" t="str">
        <x:v>HighSecurity</x:v>
      </x:c>
      <x:c r="C215" s="9" t="n">
        <x:f>RawRecords!A425</x:f>
        <x:v>46247.45000486111</x:v>
      </x:c>
      <x:c r="D215" s="10" t="n">
        <x:f>RawRecords!F425</x:f>
        <x:v>11.6483</x:v>
      </x:c>
      <x:c r="E215" s="10" t="n">
        <x:f>RawRecords!G425</x:f>
        <x:v>1815.9069</x:v>
      </x:c>
      <x:c r="F215" s="10" t="n">
        <x:f>RawRecords!H425</x:f>
        <x:v>37.3894</x:v>
      </x:c>
      <x:c r="G215" s="10" t="n">
        <x:f>RawRecords!I425</x:f>
        <x:v>2948.1476</x:v>
      </x:c>
      <x:c r="H215" s="10" t="n">
        <x:f>RawRecords!J425</x:f>
        <x:v>3.2787</x:v>
      </x:c>
      <x:c r="I215" s="10" t="n">
        <x:f>RawRecords!K425</x:f>
        <x:v>4764.0545</x:v>
      </x:c>
      <x:c r="J215" s="10" t="n">
        <x:f>RawRecords!L425</x:f>
        <x:v>52.3164</x:v>
      </x:c>
      <x:c r="K215" s="10" t="n">
        <x:f>RawRecords!M425</x:f>
        <x:v>43.0768</x:v>
      </x:c>
      <x:c r="L215" s="1" t="n">
        <x:v>45</x:v>
      </x:c>
      <x:c r="M215" s="1" t="n">
        <x:v>425</x:v>
      </x:c>
    </x:row>
    <x:row r="216" ht="23" customHeight="1">
      <x:c r="A216" s="1" t="n">
        <x:v>2</x:v>
      </x:c>
      <x:c r="B216" s="1" t="str">
        <x:v>HighSecurity</x:v>
      </x:c>
      <x:c r="C216" s="9" t="n">
        <x:f>RawRecords!A426</x:f>
        <x:v>46247.44987240741</x:v>
      </x:c>
      <x:c r="D216" s="10" t="n">
        <x:f>RawRecords!F426</x:f>
        <x:v>10.9726</x:v>
      </x:c>
      <x:c r="E216" s="10" t="n">
        <x:f>RawRecords!G426</x:f>
        <x:v>1703.9303</x:v>
      </x:c>
      <x:c r="F216" s="10" t="n">
        <x:f>RawRecords!H426</x:f>
        <x:v>37.5356</x:v>
      </x:c>
      <x:c r="G216" s="10" t="n">
        <x:f>RawRecords!I426</x:f>
        <x:v>1993.3736</x:v>
      </x:c>
      <x:c r="H216" s="10" t="n">
        <x:f>RawRecords!J426</x:f>
        <x:v>2.7212</x:v>
      </x:c>
      <x:c r="I216" s="10" t="n">
        <x:f>RawRecords!K426</x:f>
        <x:v>3697.3039</x:v>
      </x:c>
      <x:c r="J216" s="10" t="n">
        <x:f>RawRecords!L426</x:f>
        <x:v>51.2294</x:v>
      </x:c>
      <x:c r="K216" s="10" t="n">
        <x:f>RawRecords!M426</x:f>
        <x:v>42.475</x:v>
      </x:c>
      <x:c r="L216" s="1" t="n">
        <x:v>46</x:v>
      </x:c>
      <x:c r="M216" s="1" t="n">
        <x:v>426</x:v>
      </x:c>
    </x:row>
    <x:row r="217" ht="23" customHeight="1">
      <x:c r="A217" s="1" t="n">
        <x:v>2</x:v>
      </x:c>
      <x:c r="B217" s="1" t="str">
        <x:v>HighSecurity</x:v>
      </x:c>
      <x:c r="C217" s="9" t="n">
        <x:f>RawRecords!A427</x:f>
        <x:v>46247.449767812504</x:v>
      </x:c>
      <x:c r="D217" s="10" t="n">
        <x:f>RawRecords!F427</x:f>
        <x:v>11.2761</x:v>
      </x:c>
      <x:c r="E217" s="10" t="n">
        <x:f>RawRecords!G427</x:f>
        <x:v>3079.9572</x:v>
      </x:c>
      <x:c r="F217" s="10" t="n">
        <x:f>RawRecords!H427</x:f>
        <x:v>37.0307</x:v>
      </x:c>
      <x:c r="G217" s="10" t="n">
        <x:f>RawRecords!I427</x:f>
        <x:v>14391.0051</x:v>
      </x:c>
      <x:c r="H217" s="10" t="n">
        <x:f>RawRecords!J427</x:f>
        <x:v>2.7528</x:v>
      </x:c>
      <x:c r="I217" s="10" t="n">
        <x:f>RawRecords!K427</x:f>
        <x:v>17470.9623</x:v>
      </x:c>
      <x:c r="J217" s="10" t="n">
        <x:f>RawRecords!L427</x:f>
        <x:v>51.0596</x:v>
      </x:c>
      <x:c r="K217" s="10" t="n">
        <x:f>RawRecords!M427</x:f>
        <x:v>41.6835</x:v>
      </x:c>
      <x:c r="L217" s="1" t="n">
        <x:v>47</x:v>
      </x:c>
      <x:c r="M217" s="1" t="n">
        <x:v>427</x:v>
      </x:c>
    </x:row>
    <x:row r="218" ht="23" customHeight="1">
      <x:c r="A218" s="1" t="n">
        <x:v>2</x:v>
      </x:c>
      <x:c r="B218" s="1" t="str">
        <x:v>HighSecurity</x:v>
      </x:c>
      <x:c r="C218" s="9" t="n">
        <x:f>RawRecords!A428</x:f>
        <x:v>46247.44949962963</x:v>
      </x:c>
      <x:c r="D218" s="10" t="n">
        <x:f>RawRecords!F428</x:f>
        <x:v>11.4033</x:v>
      </x:c>
      <x:c r="E218" s="10" t="n">
        <x:f>RawRecords!G428</x:f>
        <x:v>2254.7799</x:v>
      </x:c>
      <x:c r="F218" s="10" t="n">
        <x:f>RawRecords!H428</x:f>
        <x:v>38.3889</x:v>
      </x:c>
      <x:c r="G218" s="10" t="n">
        <x:f>RawRecords!I428</x:f>
        <x:v>10511.7117</x:v>
      </x:c>
      <x:c r="H218" s="10" t="n">
        <x:f>RawRecords!J428</x:f>
        <x:v>2.377</x:v>
      </x:c>
      <x:c r="I218" s="10" t="n">
        <x:f>RawRecords!K428</x:f>
        <x:v>12766.4916</x:v>
      </x:c>
      <x:c r="J218" s="10" t="n">
        <x:f>RawRecords!L428</x:f>
        <x:v>52.1692</x:v>
      </x:c>
      <x:c r="K218" s="10" t="n">
        <x:f>RawRecords!M428</x:f>
        <x:v>42.5505</x:v>
      </x:c>
      <x:c r="L218" s="1" t="n">
        <x:v>48</x:v>
      </x:c>
      <x:c r="M218" s="1" t="n">
        <x:v>428</x:v>
      </x:c>
    </x:row>
    <x:row r="219" ht="23" customHeight="1">
      <x:c r="A219" s="1" t="n">
        <x:v>2</x:v>
      </x:c>
      <x:c r="B219" s="1" t="str">
        <x:v>HighSecurity</x:v>
      </x:c>
      <x:c r="C219" s="9" t="n">
        <x:f>RawRecords!A429</x:f>
        <x:v>46247.449290185185</x:v>
      </x:c>
      <x:c r="D219" s="10" t="n">
        <x:f>RawRecords!F429</x:f>
        <x:v>11.4186</x:v>
      </x:c>
      <x:c r="E219" s="10" t="n">
        <x:f>RawRecords!G429</x:f>
        <x:v>1760.0764</x:v>
      </x:c>
      <x:c r="F219" s="10" t="n">
        <x:f>RawRecords!H429</x:f>
        <x:v>39.4648</x:v>
      </x:c>
      <x:c r="G219" s="10" t="n">
        <x:f>RawRecords!I429</x:f>
        <x:v>20844.1293</x:v>
      </x:c>
      <x:c r="H219" s="10" t="n">
        <x:f>RawRecords!J429</x:f>
        <x:v>2.865</x:v>
      </x:c>
      <x:c r="I219" s="10" t="n">
        <x:f>RawRecords!K429</x:f>
        <x:v>22604.2057</x:v>
      </x:c>
      <x:c r="J219" s="10" t="n">
        <x:f>RawRecords!L429</x:f>
        <x:v>53.7484</x:v>
      </x:c>
      <x:c r="K219" s="10" t="n">
        <x:f>RawRecords!M429</x:f>
        <x:v>45.5203</x:v>
      </x:c>
      <x:c r="L219" s="1" t="n">
        <x:v>49</x:v>
      </x:c>
      <x:c r="M219" s="1" t="n">
        <x:v>429</x:v>
      </x:c>
    </x:row>
    <x:row r="220" ht="23" customHeight="1">
      <x:c r="A220" s="1" t="n">
        <x:v>2</x:v>
      </x:c>
      <x:c r="B220" s="1" t="str">
        <x:v>HighSecurity</x:v>
      </x:c>
      <x:c r="C220" s="9" t="n">
        <x:f>RawRecords!A430</x:f>
        <x:v>46247.44896961805</x:v>
      </x:c>
      <x:c r="D220" s="10" t="n">
        <x:f>RawRecords!F430</x:f>
        <x:v>12.0462</x:v>
      </x:c>
      <x:c r="E220" s="10" t="n">
        <x:f>RawRecords!G430</x:f>
        <x:v>1650.327</x:v>
      </x:c>
      <x:c r="F220" s="10" t="n">
        <x:f>RawRecords!H430</x:f>
        <x:v>39.8552</x:v>
      </x:c>
      <x:c r="G220" s="10" t="n">
        <x:f>RawRecords!I430</x:f>
        <x:v>12761.3243</x:v>
      </x:c>
      <x:c r="H220" s="10" t="n">
        <x:f>RawRecords!J430</x:f>
        <x:v>2.8229</x:v>
      </x:c>
      <x:c r="I220" s="10" t="n">
        <x:f>RawRecords!K430</x:f>
        <x:v>14411.6513</x:v>
      </x:c>
      <x:c r="J220" s="10" t="n">
        <x:f>RawRecords!L430</x:f>
        <x:v>54.7243</x:v>
      </x:c>
      <x:c r="K220" s="10" t="n">
        <x:f>RawRecords!M430</x:f>
        <x:v>44.0229</x:v>
      </x:c>
      <x:c r="L220" s="1" t="n">
        <x:v>50</x:v>
      </x:c>
      <x:c r="M220" s="1" t="n">
        <x:v>430</x:v>
      </x:c>
    </x:row>
    <x:row r="221" ht="23" customHeight="1">
      <x:c r="A221" s="1" t="n">
        <x:v>2</x:v>
      </x:c>
      <x:c r="B221" s="1" t="str">
        <x:v>HighSecurity</x:v>
      </x:c>
      <x:c r="C221" s="9" t="n">
        <x:f>RawRecords!A431</x:f>
        <x:v>46247.44874922454</x:v>
      </x:c>
      <x:c r="D221" s="10" t="n">
        <x:f>RawRecords!F431</x:f>
        <x:v>9.846</x:v>
      </x:c>
      <x:c r="E221" s="10" t="n">
        <x:f>RawRecords!G431</x:f>
        <x:v>1814.7834</x:v>
      </x:c>
      <x:c r="F221" s="10" t="n">
        <x:f>RawRecords!H431</x:f>
        <x:v>39.2239</x:v>
      </x:c>
      <x:c r="G221" s="10" t="n">
        <x:f>RawRecords!I431</x:f>
        <x:v>12473.2337</x:v>
      </x:c>
      <x:c r="H221" s="10" t="n">
        <x:f>RawRecords!J431</x:f>
        <x:v>2.4198</x:v>
      </x:c>
      <x:c r="I221" s="10" t="n">
        <x:f>RawRecords!K431</x:f>
        <x:v>14288.0171</x:v>
      </x:c>
      <x:c r="J221" s="10" t="n">
        <x:f>RawRecords!L431</x:f>
        <x:v>51.4897</x:v>
      </x:c>
      <x:c r="K221" s="10" t="n">
        <x:f>RawRecords!M431</x:f>
        <x:v>42.9172</x:v>
      </x:c>
      <x:c r="L221" s="1" t="n">
        <x:v>51</x:v>
      </x:c>
      <x:c r="M221" s="1" t="n">
        <x:v>431</x:v>
      </x:c>
    </x:row>
    <x:row r="222" ht="23" customHeight="1">
      <x:c r="A222" s="1" t="n">
        <x:v>2</x:v>
      </x:c>
      <x:c r="B222" s="1" t="str">
        <x:v>HighSecurity</x:v>
      </x:c>
      <x:c r="C222" s="9" t="n">
        <x:f>RawRecords!A432</x:f>
        <x:v>46247.448527534725</x:v>
      </x:c>
      <x:c r="D222" s="10" t="n">
        <x:f>RawRecords!F432</x:f>
        <x:v>10.7886</x:v>
      </x:c>
      <x:c r="E222" s="10" t="n">
        <x:f>RawRecords!G432</x:f>
        <x:v>2584.7173</x:v>
      </x:c>
      <x:c r="F222" s="10" t="n">
        <x:f>RawRecords!H432</x:f>
        <x:v>37.5854</x:v>
      </x:c>
      <x:c r="G222" s="10" t="n">
        <x:f>RawRecords!I432</x:f>
        <x:v>10282.5831</x:v>
      </x:c>
      <x:c r="H222" s="10" t="n">
        <x:f>RawRecords!J432</x:f>
        <x:v>2.6128</x:v>
      </x:c>
      <x:c r="I222" s="10" t="n">
        <x:f>RawRecords!K432</x:f>
        <x:v>12867.3004</x:v>
      </x:c>
      <x:c r="J222" s="10" t="n">
        <x:f>RawRecords!L432</x:f>
        <x:v>50.9868</x:v>
      </x:c>
      <x:c r="K222" s="10" t="n">
        <x:f>RawRecords!M432</x:f>
        <x:v>41.8502</x:v>
      </x:c>
      <x:c r="L222" s="1" t="n">
        <x:v>52</x:v>
      </x:c>
      <x:c r="M222" s="1" t="n">
        <x:v>432</x:v>
      </x:c>
    </x:row>
    <x:row r="223" ht="23" customHeight="1">
      <x:c r="A223" s="1" t="n">
        <x:v>2</x:v>
      </x:c>
      <x:c r="B223" s="1" t="str">
        <x:v>HighSecurity</x:v>
      </x:c>
      <x:c r="C223" s="9" t="n">
        <x:f>RawRecords!A433</x:f>
        <x:v>46247.44831221065</x:v>
      </x:c>
      <x:c r="D223" s="10" t="n">
        <x:f>RawRecords!F433</x:f>
        <x:v>12.1911</x:v>
      </x:c>
      <x:c r="E223" s="10" t="n">
        <x:f>RawRecords!G433</x:f>
        <x:v>1704.5883</x:v>
      </x:c>
      <x:c r="F223" s="10" t="n">
        <x:f>RawRecords!H433</x:f>
        <x:v>39.6065</x:v>
      </x:c>
      <x:c r="G223" s="10" t="n">
        <x:f>RawRecords!I433</x:f>
        <x:v>1620.7399</x:v>
      </x:c>
      <x:c r="H223" s="10" t="n">
        <x:f>RawRecords!J433</x:f>
        <x:v>2.6251</x:v>
      </x:c>
      <x:c r="I223" s="10" t="n">
        <x:f>RawRecords!K433</x:f>
        <x:v>3325.3282</x:v>
      </x:c>
      <x:c r="J223" s="10" t="n">
        <x:f>RawRecords!L433</x:f>
        <x:v>54.4227</x:v>
      </x:c>
      <x:c r="K223" s="10" t="n">
        <x:f>RawRecords!M433</x:f>
        <x:v>43.9415</x:v>
      </x:c>
      <x:c r="L223" s="1" t="n">
        <x:v>53</x:v>
      </x:c>
      <x:c r="M223" s="1" t="n">
        <x:v>433</x:v>
      </x:c>
    </x:row>
    <x:row r="224" ht="23" customHeight="1">
      <x:c r="A224" s="1" t="n">
        <x:v>2</x:v>
      </x:c>
      <x:c r="B224" s="1" t="str">
        <x:v>HighSecurity</x:v>
      </x:c>
      <x:c r="C224" s="9" t="n">
        <x:f>RawRecords!A434</x:f>
        <x:v>46247.44821074074</x:v>
      </x:c>
      <x:c r="D224" s="10" t="n">
        <x:f>RawRecords!F434</x:f>
        <x:v>11.0065</x:v>
      </x:c>
      <x:c r="E224" s="10" t="n">
        <x:f>RawRecords!G434</x:f>
        <x:v>2639.5997</x:v>
      </x:c>
      <x:c r="F224" s="10" t="n">
        <x:f>RawRecords!H434</x:f>
        <x:v>37.383</x:v>
      </x:c>
      <x:c r="G224" s="10" t="n">
        <x:f>RawRecords!I434</x:f>
        <x:v>4989.0978</x:v>
      </x:c>
      <x:c r="H224" s="10" t="n">
        <x:f>RawRecords!J434</x:f>
        <x:v>2.979</x:v>
      </x:c>
      <x:c r="I224" s="10" t="n">
        <x:f>RawRecords!K434</x:f>
        <x:v>7628.6975</x:v>
      </x:c>
      <x:c r="J224" s="10" t="n">
        <x:f>RawRecords!L434</x:f>
        <x:v>51.3685</x:v>
      </x:c>
      <x:c r="K224" s="10" t="n">
        <x:f>RawRecords!M434</x:f>
        <x:v>41.5564</x:v>
      </x:c>
      <x:c r="L224" s="1" t="n">
        <x:v>54</x:v>
      </x:c>
      <x:c r="M224" s="1" t="n">
        <x:v>434</x:v>
      </x:c>
    </x:row>
    <x:row r="225" ht="23" customHeight="1">
      <x:c r="A225" s="1" t="n">
        <x:v>2</x:v>
      </x:c>
      <x:c r="B225" s="1" t="str">
        <x:v>HighSecurity</x:v>
      </x:c>
      <x:c r="C225" s="9" t="n">
        <x:f>RawRecords!A435</x:f>
        <x:v>46247.44805832176</x:v>
      </x:c>
      <x:c r="D225" s="10" t="n">
        <x:f>RawRecords!F435</x:f>
        <x:v>10.5961</x:v>
      </x:c>
      <x:c r="E225" s="10" t="n">
        <x:f>RawRecords!G435</x:f>
        <x:v>1594.68</x:v>
      </x:c>
      <x:c r="F225" s="10" t="n">
        <x:f>RawRecords!H435</x:f>
        <x:v>37.5237</x:v>
      </x:c>
      <x:c r="G225" s="10" t="n">
        <x:f>RawRecords!I435</x:f>
        <x:v>2662.237</x:v>
      </x:c>
      <x:c r="H225" s="10" t="n">
        <x:f>RawRecords!J435</x:f>
        <x:v>2.9141</x:v>
      </x:c>
      <x:c r="I225" s="10" t="n">
        <x:f>RawRecords!K435</x:f>
        <x:v>4256.917</x:v>
      </x:c>
      <x:c r="J225" s="10" t="n">
        <x:f>RawRecords!L435</x:f>
        <x:v>51.0339</x:v>
      </x:c>
      <x:c r="K225" s="10" t="n">
        <x:f>RawRecords!M435</x:f>
        <x:v>42.1075</x:v>
      </x:c>
      <x:c r="L225" s="1" t="n">
        <x:v>55</x:v>
      </x:c>
      <x:c r="M225" s="1" t="n">
        <x:v>435</x:v>
      </x:c>
    </x:row>
    <x:row r="226" ht="23" customHeight="1">
      <x:c r="A226" s="1" t="n">
        <x:v>2</x:v>
      </x:c>
      <x:c r="B226" s="1" t="str">
        <x:v>HighSecurity</x:v>
      </x:c>
      <x:c r="C226" s="9" t="n">
        <x:f>RawRecords!A436</x:f>
        <x:v>46247.44794607639</x:v>
      </x:c>
      <x:c r="D226" s="10" t="n">
        <x:f>RawRecords!F436</x:f>
        <x:v>11.5648</x:v>
      </x:c>
      <x:c r="E226" s="10" t="n">
        <x:f>RawRecords!G436</x:f>
        <x:v>1979.7175</x:v>
      </x:c>
      <x:c r="F226" s="10" t="n">
        <x:f>RawRecords!H436</x:f>
        <x:v>66.1493</x:v>
      </x:c>
      <x:c r="G226" s="10" t="n">
        <x:f>RawRecords!I436</x:f>
        <x:v>11544.894</x:v>
      </x:c>
      <x:c r="H226" s="10" t="n">
        <x:f>RawRecords!J436</x:f>
        <x:v>2.3235</x:v>
      </x:c>
      <x:c r="I226" s="10" t="n">
        <x:f>RawRecords!K436</x:f>
        <x:v>13524.6115</x:v>
      </x:c>
      <x:c r="J226" s="10" t="n">
        <x:f>RawRecords!L436</x:f>
        <x:v>80.0376</x:v>
      </x:c>
      <x:c r="K226" s="10" t="n">
        <x:f>RawRecords!M436</x:f>
        <x:v>70.0665</x:v>
      </x:c>
      <x:c r="L226" s="1" t="n">
        <x:v>56</x:v>
      </x:c>
      <x:c r="M226" s="1" t="n">
        <x:v>436</x:v>
      </x:c>
    </x:row>
    <x:row r="227" ht="23" customHeight="1">
      <x:c r="A227" s="1" t="n">
        <x:v>2</x:v>
      </x:c>
      <x:c r="B227" s="1" t="str">
        <x:v>HighSecurity</x:v>
      </x:c>
      <x:c r="C227" s="9" t="n">
        <x:f>RawRecords!A438</x:f>
        <x:v>46247.447620844905</x:v>
      </x:c>
      <x:c r="D227" s="10" t="n">
        <x:f>RawRecords!F438</x:f>
        <x:v>13.4761</x:v>
      </x:c>
      <x:c r="E227" s="10" t="n">
        <x:f>RawRecords!G438</x:f>
        <x:v>1595.2215</x:v>
      </x:c>
      <x:c r="F227" s="10" t="n">
        <x:f>RawRecords!H438</x:f>
        <x:v>37.705</x:v>
      </x:c>
      <x:c r="G227" s="10" t="n">
        <x:f>RawRecords!I438</x:f>
        <x:v>1444.5714</x:v>
      </x:c>
      <x:c r="H227" s="10" t="n">
        <x:f>RawRecords!J438</x:f>
        <x:v>2.2824</x:v>
      </x:c>
      <x:c r="I227" s="10" t="n">
        <x:f>RawRecords!K438</x:f>
        <x:v>3039.7929</x:v>
      </x:c>
      <x:c r="J227" s="10" t="n">
        <x:f>RawRecords!L438</x:f>
        <x:v>53.4635</x:v>
      </x:c>
      <x:c r="K227" s="10" t="n">
        <x:f>RawRecords!M438</x:f>
        <x:v>43.8268</x:v>
      </x:c>
      <x:c r="L227" s="1" t="n">
        <x:v>58</x:v>
      </x:c>
      <x:c r="M227" s="1" t="n">
        <x:v>438</x:v>
      </x:c>
    </x:row>
    <x:row r="228" ht="23" customHeight="1">
      <x:c r="A228" s="1" t="n">
        <x:v>2</x:v>
      </x:c>
      <x:c r="B228" s="1" t="str">
        <x:v>HighSecurity</x:v>
      </x:c>
      <x:c r="C228" s="9" t="n">
        <x:f>RawRecords!A439</x:f>
        <x:v>46247.447513506944</x:v>
      </x:c>
      <x:c r="D228" s="10" t="n">
        <x:f>RawRecords!F439</x:f>
        <x:v>11.9613</x:v>
      </x:c>
      <x:c r="E228" s="10" t="n">
        <x:f>RawRecords!G439</x:f>
        <x:v>1869.6269</x:v>
      </x:c>
      <x:c r="F228" s="10" t="n">
        <x:f>RawRecords!H439</x:f>
        <x:v>40.7621</x:v>
      </x:c>
      <x:c r="G228" s="10" t="n">
        <x:f>RawRecords!I439</x:f>
        <x:v>1861.9043</x:v>
      </x:c>
      <x:c r="H228" s="10" t="n">
        <x:f>RawRecords!J439</x:f>
        <x:v>3.0038</x:v>
      </x:c>
      <x:c r="I228" s="10" t="n">
        <x:f>RawRecords!K439</x:f>
        <x:v>3731.5312</x:v>
      </x:c>
      <x:c r="J228" s="10" t="n">
        <x:f>RawRecords!L439</x:f>
        <x:v>55.7272</x:v>
      </x:c>
      <x:c r="K228" s="10" t="n">
        <x:f>RawRecords!M439</x:f>
        <x:v>45.2857</x:v>
      </x:c>
      <x:c r="L228" s="1" t="n">
        <x:v>59</x:v>
      </x:c>
      <x:c r="M228" s="1" t="n">
        <x:v>439</x:v>
      </x:c>
    </x:row>
    <x:row r="229" ht="23" customHeight="1">
      <x:c r="A229" s="1" t="n">
        <x:v>2</x:v>
      </x:c>
      <x:c r="B229" s="1" t="str">
        <x:v>HighSecurity</x:v>
      </x:c>
      <x:c r="C229" s="9" t="n">
        <x:f>RawRecords!A440</x:f>
        <x:v>46247.44740978009</x:v>
      </x:c>
      <x:c r="D229" s="10" t="n">
        <x:f>RawRecords!F440</x:f>
        <x:v>11.9085</x:v>
      </x:c>
      <x:c r="E229" s="10" t="n">
        <x:f>RawRecords!G440</x:f>
        <x:v>1759.781</x:v>
      </x:c>
      <x:c r="F229" s="10" t="n">
        <x:f>RawRecords!H440</x:f>
        <x:v>39.172</x:v>
      </x:c>
      <x:c r="G229" s="10" t="n">
        <x:f>RawRecords!I440</x:f>
        <x:v>1290.0781</x:v>
      </x:c>
      <x:c r="H229" s="10" t="n">
        <x:f>RawRecords!J440</x:f>
        <x:v>2.574</x:v>
      </x:c>
      <x:c r="I229" s="10" t="n">
        <x:f>RawRecords!K440</x:f>
        <x:v>3049.8591</x:v>
      </x:c>
      <x:c r="J229" s="10" t="n">
        <x:f>RawRecords!L440</x:f>
        <x:v>53.6545</x:v>
      </x:c>
      <x:c r="K229" s="10" t="n">
        <x:f>RawRecords!M440</x:f>
        <x:v>43.4498</x:v>
      </x:c>
      <x:c r="L229" s="1" t="n">
        <x:v>60</x:v>
      </x:c>
      <x:c r="M229" s="1" t="n">
        <x:v>440</x:v>
      </x:c>
    </x:row>
    <x:row r="230" ht="23" customHeight="1">
      <x:c r="A230" s="1" t="n">
        <x:v>2</x:v>
      </x:c>
      <x:c r="B230" s="1" t="str">
        <x:v>HighSecurity</x:v>
      </x:c>
      <x:c r="C230" s="9" t="n">
        <x:f>RawRecords!A441</x:f>
        <x:v>46247.44731765046</x:v>
      </x:c>
      <x:c r="D230" s="10" t="n">
        <x:f>RawRecords!F441</x:f>
        <x:v>11.6948</x:v>
      </x:c>
      <x:c r="E230" s="10" t="n">
        <x:f>RawRecords!G441</x:f>
        <x:v>1375.3643</x:v>
      </x:c>
      <x:c r="F230" s="10" t="n">
        <x:f>RawRecords!H441</x:f>
        <x:v>39.0105</x:v>
      </x:c>
      <x:c r="G230" s="10" t="n">
        <x:f>RawRecords!I441</x:f>
        <x:v>1766.2942</x:v>
      </x:c>
      <x:c r="H230" s="10" t="n">
        <x:f>RawRecords!J441</x:f>
        <x:v>2.4812</x:v>
      </x:c>
      <x:c r="I230" s="10" t="n">
        <x:f>RawRecords!K441</x:f>
        <x:v>3141.6585</x:v>
      </x:c>
      <x:c r="J230" s="10" t="n">
        <x:f>RawRecords!L441</x:f>
        <x:v>53.1865</x:v>
      </x:c>
      <x:c r="K230" s="10" t="n">
        <x:f>RawRecords!M441</x:f>
        <x:v>43.9305</x:v>
      </x:c>
      <x:c r="L230" s="1" t="n">
        <x:v>61</x:v>
      </x:c>
      <x:c r="M230" s="1" t="n">
        <x:v>441</x:v>
      </x:c>
    </x:row>
    <x:row r="231" ht="23" customHeight="1">
      <x:c r="A231" s="1" t="n">
        <x:v>2</x:v>
      </x:c>
      <x:c r="B231" s="1" t="str">
        <x:v>HighSecurity</x:v>
      </x:c>
      <x:c r="C231" s="9" t="n">
        <x:f>RawRecords!A442</x:f>
        <x:v>46247.447216597226</x:v>
      </x:c>
      <x:c r="D231" s="10" t="n">
        <x:f>RawRecords!F442</x:f>
        <x:v>10.8905</x:v>
      </x:c>
      <x:c r="E231" s="10" t="n">
        <x:f>RawRecords!G442</x:f>
        <x:v>2585.1063</x:v>
      </x:c>
      <x:c r="F231" s="10" t="n">
        <x:f>RawRecords!H442</x:f>
        <x:v>37.6715</x:v>
      </x:c>
      <x:c r="G231" s="10" t="n">
        <x:f>RawRecords!I442</x:f>
        <x:v>1101.4956</x:v>
      </x:c>
      <x:c r="H231" s="10" t="n">
        <x:f>RawRecords!J442</x:f>
        <x:v>2.441</x:v>
      </x:c>
      <x:c r="I231" s="10" t="n">
        <x:f>RawRecords!K442</x:f>
        <x:v>3686.6019</x:v>
      </x:c>
      <x:c r="J231" s="10" t="n">
        <x:f>RawRecords!L442</x:f>
        <x:v>51.003</x:v>
      </x:c>
      <x:c r="K231" s="10" t="n">
        <x:f>RawRecords!M442</x:f>
        <x:v>41.8456</x:v>
      </x:c>
      <x:c r="L231" s="1" t="n">
        <x:v>62</x:v>
      </x:c>
      <x:c r="M231" s="1" t="n">
        <x:v>442</x:v>
      </x:c>
    </x:row>
    <x:row r="232" ht="23" customHeight="1">
      <x:c r="A232" s="1" t="n">
        <x:v>2</x:v>
      </x:c>
      <x:c r="B232" s="1" t="str">
        <x:v>HighSecurity</x:v>
      </x:c>
      <x:c r="C232" s="9" t="n">
        <x:f>RawRecords!A443</x:f>
        <x:v>46247.44712085648</x:v>
      </x:c>
      <x:c r="D232" s="10" t="n">
        <x:f>RawRecords!F443</x:f>
        <x:v>9.0262</x:v>
      </x:c>
      <x:c r="E232" s="10" t="n">
        <x:f>RawRecords!G443</x:f>
        <x:v>1649.6367</x:v>
      </x:c>
      <x:c r="F232" s="10" t="n">
        <x:f>RawRecords!H443</x:f>
        <x:v>38.0842</x:v>
      </x:c>
      <x:c r="G232" s="10" t="n">
        <x:f>RawRecords!I443</x:f>
        <x:v>3755.5288</x:v>
      </x:c>
      <x:c r="H232" s="10" t="n">
        <x:f>RawRecords!J443</x:f>
        <x:v>2.3939</x:v>
      </x:c>
      <x:c r="I232" s="10" t="n">
        <x:f>RawRecords!K443</x:f>
        <x:v>5405.1655</x:v>
      </x:c>
      <x:c r="J232" s="10" t="n">
        <x:f>RawRecords!L443</x:f>
        <x:v>49.5043</x:v>
      </x:c>
      <x:c r="K232" s="10" t="n">
        <x:f>RawRecords!M443</x:f>
        <x:v>81.3218</x:v>
      </x:c>
      <x:c r="L232" s="1" t="n">
        <x:v>63</x:v>
      </x:c>
      <x:c r="M232" s="1" t="n">
        <x:v>443</x:v>
      </x:c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</x:row>
  </x:sheetData>
  <x:mergeCells>
    <x:mergeCell ref="A1:M1"/>
    <x:mergeCell ref="A2:M2"/>
    <x:mergeCell ref="A3:M3"/>
    <x:mergeCell ref="A20:M20"/>
    <x:mergeCell ref="A21:M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7" hidden="0" customWidth="1"/>
    <x:col min="4" max="4" width="17" hidden="0" customWidth="1"/>
    <x:col min="5" max="5" width="4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5" hidden="0" customWidth="1"/>
    <x:col min="15" max="15" width="35" hidden="0" customWidth="1"/>
    <x:col min="16" max="16" width="17" hidden="0" customWidth="1"/>
    <x:col min="17" max="17" width="25" hidden="0" customWidth="1"/>
    <x:col min="18" max="18" width="17" hidden="0" customWidth="1"/>
    <x:col min="19" max="19" width="23" hidden="0" customWidth="1"/>
    <x:col min="20" max="20" width="17" hidden="0" customWidth="1"/>
    <x:col min="21" max="21" width="62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</x:cols>
  <x:sheetData>
    <x:row r="1" ht="30" customHeight="1">
      <x:c r="A1" s="4" t="str">
        <x:v>Original export records with separate analysis metadata</x:v>
      </x:c>
      <x:c r="B1" s="4" t="str">
        <x:v>Original export records with separate analysis metadata</x:v>
      </x:c>
      <x:c r="C1" s="4" t="str">
        <x:v>Original export records with separate analysis metadata</x:v>
      </x:c>
      <x:c r="D1" s="4" t="str">
        <x:v>Original export records with separate analysis metadata</x:v>
      </x:c>
      <x:c r="E1" s="4" t="str">
        <x:v>Original export records with separate analysis metadata</x:v>
      </x:c>
      <x:c r="F1" s="4" t="str">
        <x:v>Original export records with separate analysis metadata</x:v>
      </x:c>
      <x:c r="G1" s="4" t="str">
        <x:v>Original export records with separate analysis metadata</x:v>
      </x:c>
      <x:c r="H1" s="4" t="str">
        <x:v>Original export records with separate analysis metadata</x:v>
      </x:c>
      <x:c r="I1" s="4" t="str">
        <x:v>Original export records with separate analysis metadata</x:v>
      </x:c>
      <x:c r="J1" s="4" t="str">
        <x:v>Original export records with separate analysis metadata</x:v>
      </x:c>
      <x:c r="K1" s="4" t="str">
        <x:v>Original export records with separate analysis metadata</x:v>
      </x:c>
      <x:c r="L1" s="4" t="str">
        <x:v>Original export records with separate analysis metadata</x:v>
      </x:c>
      <x:c r="M1" s="4" t="str">
        <x:v>Original export records with separate analysis metadata</x:v>
      </x:c>
      <x:c r="N1" s="4" t="str">
        <x:v>Original export records with separate analysis metadata</x:v>
      </x:c>
      <x:c r="O1" s="4" t="str">
        <x:v>Original export records with separate analysis metadata</x:v>
      </x:c>
      <x:c r="P1" s="4" t="str">
        <x:v>Original export records with separate analysis metadata</x:v>
      </x:c>
      <x:c r="Q1" s="4" t="str">
        <x:v>Original export records with separate analysis metadata</x:v>
      </x:c>
      <x:c r="R1" s="4" t="str">
        <x:v>Original export records with separate analysis metadata</x:v>
      </x:c>
      <x:c r="S1" s="4" t="str">
        <x:v>Original export records with separate analysis metadata</x:v>
      </x:c>
      <x:c r="T1" s="4" t="str">
        <x:v>Original export records with separate analysis metadata</x:v>
      </x:c>
      <x:c r="U1" s="4" t="str">
        <x:v>Original export records with separate analysis metadata</x:v>
      </x:c>
      <x:c r="V1" s="1"/>
      <x:c r="W1" s="1"/>
      <x:c r="X1" s="1"/>
      <x:c r="Y1" s="1"/>
    </x:row>
    <x:row r="2" ht="35" customHeight="1">
      <x:c r="A2" s="5" t="str">
        <x:v>Batch 1 source: C:\Users\justine mendoza\Documents\METRICS first batch\METRICS FIRST BATCH.xlsx</x:v>
      </x:c>
      <x:c r="B2" s="5" t="str">
        <x:v>Batch 1 source: C:\Users\justine mendoza\Documents\METRICS first batch\METRICS FIRST BATCH.xlsx</x:v>
      </x:c>
      <x:c r="C2" s="5" t="str">
        <x:v>Batch 1 source: C:\Users\justine mendoza\Documents\METRICS first batch\METRICS FIRST BATCH.xlsx</x:v>
      </x:c>
      <x:c r="D2" s="5" t="str">
        <x:v>Batch 1 source: C:\Users\justine mendoza\Documents\METRICS first batch\METRICS FIRST BATCH.xlsx</x:v>
      </x:c>
      <x:c r="E2" s="5" t="str">
        <x:v>Batch 1 source: C:\Users\justine mendoza\Documents\METRICS first batch\METRICS FIRST BATCH.xlsx</x:v>
      </x:c>
      <x:c r="F2" s="5" t="str">
        <x:v>Batch 1 source: C:\Users\justine mendoza\Documents\METRICS first batch\METRICS FIRST BATCH.xlsx</x:v>
      </x:c>
      <x:c r="G2" s="5" t="str">
        <x:v>Batch 1 source: C:\Users\justine mendoza\Documents\METRICS first batch\METRICS FIRST BATCH.xlsx</x:v>
      </x:c>
      <x:c r="H2" s="5" t="str">
        <x:v>Batch 1 source: C:\Users\justine mendoza\Documents\METRICS first batch\METRICS FIRST BATCH.xlsx</x:v>
      </x:c>
      <x:c r="I2" s="5" t="str">
        <x:v>Batch 1 source: C:\Users\justine mendoza\Documents\METRICS first batch\METRICS FIRST BATCH.xlsx</x:v>
      </x:c>
      <x:c r="J2" s="5" t="str">
        <x:v>Batch 1 source: C:\Users\justine mendoza\Documents\METRICS first batch\METRICS FIRST BATCH.xlsx</x:v>
      </x:c>
      <x:c r="K2" s="5" t="str">
        <x:v>Batch 1 source: C:\Users\justine mendoza\Documents\METRICS first batch\METRICS FIRST BATCH.xlsx</x:v>
      </x:c>
      <x:c r="L2" s="5" t="str">
        <x:v>Batch 1 source: C:\Users\justine mendoza\Documents\METRICS first batch\METRICS FIRST BATCH.xlsx</x:v>
      </x:c>
      <x:c r="M2" s="5" t="str">
        <x:v>Batch 1 source: C:\Users\justine mendoza\Documents\METRICS first batch\METRICS FIRST BATCH.xlsx</x:v>
      </x:c>
      <x:c r="N2" s="5" t="str">
        <x:v>Batch 1 source: C:\Users\justine mendoza\Documents\METRICS first batch\METRICS FIRST BATCH.xlsx</x:v>
      </x:c>
      <x:c r="O2" s="5" t="str">
        <x:v>Batch 1 source: C:\Users\justine mendoza\Documents\METRICS first batch\METRICS FIRST BATCH.xlsx</x:v>
      </x:c>
      <x:c r="P2" s="5" t="str">
        <x:v>Batch 1 source: C:\Users\justine mendoza\Documents\METRICS first batch\METRICS FIRST BATCH.xlsx</x:v>
      </x:c>
      <x:c r="Q2" s="5" t="str">
        <x:v>Batch 1 source: C:\Users\justine mendoza\Documents\METRICS first batch\METRICS FIRST BATCH.xlsx</x:v>
      </x:c>
      <x:c r="R2" s="5" t="str">
        <x:v>Batch 1 source: C:\Users\justine mendoza\Documents\METRICS first batch\METRICS FIRST BATCH.xlsx</x:v>
      </x:c>
      <x:c r="S2" s="5" t="str">
        <x:v>Batch 1 source: C:\Users\justine mendoza\Documents\METRICS first batch\METRICS FIRST BATCH.xlsx</x:v>
      </x:c>
      <x:c r="T2" s="5" t="str">
        <x:v>Batch 1 source: C:\Users\justine mendoza\Documents\METRICS first batch\METRICS FIRST BATCH.xlsx</x:v>
      </x:c>
      <x:c r="U2" s="5" t="str">
        <x:v>Batch 1 source: C:\Users\justine mendoza\Documents\METRICS first batch\METRICS FIRST BATCH.xlsx</x:v>
      </x:c>
      <x:c r="V2" s="1"/>
      <x:c r="W2" s="1"/>
      <x:c r="X2" s="1"/>
      <x:c r="Y2" s="1"/>
    </x:row>
    <x:row r="3" ht="35" customHeight="1">
      <x:c r="A3" s="5" t="str">
        <x:v>Batch 2 source: C:\Users\justine mendoza\Documents\METRICS first batch\Second Batch.xlsx</x:v>
      </x:c>
      <x:c r="B3" s="5" t="str">
        <x:v>Batch 2 source: C:\Users\justine mendoza\Documents\METRICS first batch\Second Batch.xlsx</x:v>
      </x:c>
      <x:c r="C3" s="5" t="str">
        <x:v>Batch 2 source: C:\Users\justine mendoza\Documents\METRICS first batch\Second Batch.xlsx</x:v>
      </x:c>
      <x:c r="D3" s="5" t="str">
        <x:v>Batch 2 source: C:\Users\justine mendoza\Documents\METRICS first batch\Second Batch.xlsx</x:v>
      </x:c>
      <x:c r="E3" s="5" t="str">
        <x:v>Batch 2 source: C:\Users\justine mendoza\Documents\METRICS first batch\Second Batch.xlsx</x:v>
      </x:c>
      <x:c r="F3" s="5" t="str">
        <x:v>Batch 2 source: C:\Users\justine mendoza\Documents\METRICS first batch\Second Batch.xlsx</x:v>
      </x:c>
      <x:c r="G3" s="5" t="str">
        <x:v>Batch 2 source: C:\Users\justine mendoza\Documents\METRICS first batch\Second Batch.xlsx</x:v>
      </x:c>
      <x:c r="H3" s="5" t="str">
        <x:v>Batch 2 source: C:\Users\justine mendoza\Documents\METRICS first batch\Second Batch.xlsx</x:v>
      </x:c>
      <x:c r="I3" s="5" t="str">
        <x:v>Batch 2 source: C:\Users\justine mendoza\Documents\METRICS first batch\Second Batch.xlsx</x:v>
      </x:c>
      <x:c r="J3" s="5" t="str">
        <x:v>Batch 2 source: C:\Users\justine mendoza\Documents\METRICS first batch\Second Batch.xlsx</x:v>
      </x:c>
      <x:c r="K3" s="5" t="str">
        <x:v>Batch 2 source: C:\Users\justine mendoza\Documents\METRICS first batch\Second Batch.xlsx</x:v>
      </x:c>
      <x:c r="L3" s="5" t="str">
        <x:v>Batch 2 source: C:\Users\justine mendoza\Documents\METRICS first batch\Second Batch.xlsx</x:v>
      </x:c>
      <x:c r="M3" s="5" t="str">
        <x:v>Batch 2 source: C:\Users\justine mendoza\Documents\METRICS first batch\Second Batch.xlsx</x:v>
      </x:c>
      <x:c r="N3" s="5" t="str">
        <x:v>Batch 2 source: C:\Users\justine mendoza\Documents\METRICS first batch\Second Batch.xlsx</x:v>
      </x:c>
      <x:c r="O3" s="5" t="str">
        <x:v>Batch 2 source: C:\Users\justine mendoza\Documents\METRICS first batch\Second Batch.xlsx</x:v>
      </x:c>
      <x:c r="P3" s="5" t="str">
        <x:v>Batch 2 source: C:\Users\justine mendoza\Documents\METRICS first batch\Second Batch.xlsx</x:v>
      </x:c>
      <x:c r="Q3" s="5" t="str">
        <x:v>Batch 2 source: C:\Users\justine mendoza\Documents\METRICS first batch\Second Batch.xlsx</x:v>
      </x:c>
      <x:c r="R3" s="5" t="str">
        <x:v>Batch 2 source: C:\Users\justine mendoza\Documents\METRICS first batch\Second Batch.xlsx</x:v>
      </x:c>
      <x:c r="S3" s="5" t="str">
        <x:v>Batch 2 source: C:\Users\justine mendoza\Documents\METRICS first batch\Second Batch.xlsx</x:v>
      </x:c>
      <x:c r="T3" s="5" t="str">
        <x:v>Batch 2 source: C:\Users\justine mendoza\Documents\METRICS first batch\Second Batch.xlsx</x:v>
      </x:c>
      <x:c r="U3" s="5" t="str">
        <x:v>Batch 2 source: C:\Users\justine mendoza\Documents\METRICS first batch\Second Batch.xlsx</x:v>
      </x:c>
      <x:c r="V3" s="1"/>
      <x:c r="W3" s="1"/>
      <x:c r="X3" s="1"/>
      <x:c r="Y3" s="1"/>
    </x:row>
    <x:row r="4" ht="35" customHeight="1">
      <x:c r="A4" s="5" t="str">
        <x:v>A:O preserve original field values. P:U are added provenance/classification fields. Names identify reused card profiles, not unique participants.</x:v>
      </x:c>
      <x:c r="B4" s="5" t="str">
        <x:v>A:O preserve original field values. P:U are added provenance/classification fields. Names identify reused card profiles, not unique participants.</x:v>
      </x:c>
      <x:c r="C4" s="5" t="str">
        <x:v>A:O preserve original field values. P:U are added provenance/classification fields. Names identify reused card profiles, not unique participants.</x:v>
      </x:c>
      <x:c r="D4" s="5" t="str">
        <x:v>A:O preserve original field values. P:U are added provenance/classification fields. Names identify reused card profiles, not unique participants.</x:v>
      </x:c>
      <x:c r="E4" s="5" t="str">
        <x:v>A:O preserve original field values. P:U are added provenance/classification fields. Names identify reused card profiles, not unique participants.</x:v>
      </x:c>
      <x:c r="F4" s="5" t="str">
        <x:v>A:O preserve original field values. P:U are added provenance/classification fields. Names identify reused card profiles, not unique participants.</x:v>
      </x:c>
      <x:c r="G4" s="5" t="str">
        <x:v>A:O preserve original field values. P:U are added provenance/classification fields. Names identify reused card profiles, not unique participants.</x:v>
      </x:c>
      <x:c r="H4" s="5" t="str">
        <x:v>A:O preserve original field values. P:U are added provenance/classification fields. Names identify reused card profiles, not unique participants.</x:v>
      </x:c>
      <x:c r="I4" s="5" t="str">
        <x:v>A:O preserve original field values. P:U are added provenance/classification fields. Names identify reused card profiles, not unique participants.</x:v>
      </x:c>
      <x:c r="J4" s="5" t="str">
        <x:v>A:O preserve original field values. P:U are added provenance/classification fields. Names identify reused card profiles, not unique participants.</x:v>
      </x:c>
      <x:c r="K4" s="5" t="str">
        <x:v>A:O preserve original field values. P:U are added provenance/classification fields. Names identify reused card profiles, not unique participants.</x:v>
      </x:c>
      <x:c r="L4" s="5" t="str">
        <x:v>A:O preserve original field values. P:U are added provenance/classification fields. Names identify reused card profiles, not unique participants.</x:v>
      </x:c>
      <x:c r="M4" s="5" t="str">
        <x:v>A:O preserve original field values. P:U are added provenance/classification fields. Names identify reused card profiles, not unique participants.</x:v>
      </x:c>
      <x:c r="N4" s="5" t="str">
        <x:v>A:O preserve original field values. P:U are added provenance/classification fields. Names identify reused card profiles, not unique participants.</x:v>
      </x:c>
      <x:c r="O4" s="5" t="str">
        <x:v>A:O preserve original field values. P:U are added provenance/classification fields. Names identify reused card profiles, not unique participants.</x:v>
      </x:c>
      <x:c r="P4" s="5" t="str">
        <x:v>A:O preserve original field values. P:U are added provenance/classification fields. Names identify reused card profiles, not unique participants.</x:v>
      </x:c>
      <x:c r="Q4" s="5" t="str">
        <x:v>A:O preserve original field values. P:U are added provenance/classification fields. Names identify reused card profiles, not unique participants.</x:v>
      </x:c>
      <x:c r="R4" s="5" t="str">
        <x:v>A:O preserve original field values. P:U are added provenance/classification fields. Names identify reused card profiles, not unique participants.</x:v>
      </x:c>
      <x:c r="S4" s="5" t="str">
        <x:v>A:O preserve original field values. P:U are added provenance/classification fields. Names identify reused card profiles, not unique participants.</x:v>
      </x:c>
      <x:c r="T4" s="5" t="str">
        <x:v>A:O preserve original field values. P:U are added provenance/classification fields. Names identify reused card profiles, not unique participants.</x:v>
      </x:c>
      <x:c r="U4" s="5" t="str">
        <x:v>A:O preserve original field values. P:U are added provenance/classification fields. Names identify reused card profiles, not unique participants.</x:v>
      </x:c>
      <x:c r="V4" s="1"/>
      <x:c r="W4" s="1"/>
      <x:c r="X4" s="1"/>
      <x:c r="Y4" s="1"/>
    </x:row>
    <x:row r="5" ht="35" customHeight="1">
      <x:c r="A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B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C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D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E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F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G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H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I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J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K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L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M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N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O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P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Q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R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S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T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U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V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W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X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  <x:c r="Y5" s="5" t="str">
        <x:v>Expected labels are based on researcher confirmation of valid grants and deliberate invalid conditions, not an independent blinded assessment. Pre-authentication state denials and reset exits are excluded from credential accuracy.</x:v>
      </x:c>
    </x:row>
    <x:row r="6" ht="44" customHeight="1">
      <x:c r="A6" s="8" t="str">
        <x:v>Date &amp; Time</x:v>
      </x:c>
      <x:c r="B6" s="8" t="str">
        <x:v>Student Name</x:v>
      </x:c>
      <x:c r="C6" s="8" t="str">
        <x:v>Action</x:v>
      </x:c>
      <x:c r="D6" s="8" t="str">
        <x:v>Verification Flow</x:v>
      </x:c>
      <x:c r="E6" s="8" t="str">
        <x:v>Verdict</x:v>
      </x:c>
      <x:c r="F6" s="8" t="str">
        <x:v>NFC System Latency (ms)</x:v>
      </x:c>
      <x:c r="G6" s="8" t="str">
        <x:v>PIN User Workflow (ms)</x:v>
      </x:c>
      <x:c r="H6" s="8" t="str">
        <x:v>PIN System Latency (ms)</x:v>
      </x:c>
      <x:c r="I6" s="8" t="str">
        <x:v>QR User Workflow (ms)</x:v>
      </x:c>
      <x:c r="J6" s="8" t="str">
        <x:v>QR System Latency (ms)</x:v>
      </x:c>
      <x:c r="K6" s="8" t="str">
        <x:v>Total User Workflow Time (ms)</x:v>
      </x:c>
      <x:c r="L6" s="8" t="str">
        <x:v>Total System Latency (ms)</x:v>
      </x:c>
      <x:c r="M6" s="8" t="str">
        <x:v>Total DB Query Time (ms)</x:v>
      </x:c>
      <x:c r="N6" s="8" t="str">
        <x:v>Device ID</x:v>
      </x:c>
      <x:c r="O6" s="8" t="str">
        <x:v>Device Name</x:v>
      </x:c>
      <x:c r="P6" s="8" t="str">
        <x:v>Source batch</x:v>
      </x:c>
      <x:c r="Q6" s="8" t="str">
        <x:v>Source sheet</x:v>
      </x:c>
      <x:c r="R6" s="8" t="str">
        <x:v>Source Excel row</x:v>
      </x:c>
      <x:c r="S6" s="8" t="str">
        <x:v>Record category</x:v>
      </x:c>
      <x:c r="T6" s="8" t="str">
        <x:v>Entry round</x:v>
      </x:c>
      <x:c r="U6" s="8" t="str">
        <x:v>Audit note</x:v>
      </x:c>
      <x:c r="V6" s="8" t="str">
        <x:v>Applicable credential decision</x:v>
      </x:c>
      <x:c r="W6" s="8" t="str">
        <x:v>Recorded PIN submission</x:v>
      </x:c>
      <x:c r="X6" s="8" t="str">
        <x:v>Expected credential decision</x:v>
      </x:c>
      <x:c r="Y6" s="8" t="str">
        <x:v>Correct credential decision</x:v>
      </x:c>
    </x:row>
    <x:row r="7" ht="23" customHeight="1">
      <x:c r="A7" s="9" t="n">
        <x:v>46246.48397070602</x:v>
      </x:c>
      <x:c r="B7" s="1" t="str">
        <x:v>Pedro Penduko</x:v>
      </x:c>
      <x:c r="C7" s="1" t="str">
        <x:v>Exit</x:v>
      </x:c>
      <x:c r="D7" s="1" t="str">
        <x:v>Fast</x:v>
      </x:c>
      <x:c r="E7" s="1" t="str">
        <x:v>GRANTED</x:v>
      </x:c>
      <x:c r="F7" s="11" t="n">
        <x:v>9.9272</x:v>
      </x:c>
      <x:c r="G7" s="11" t="str">
        <x:v>N/A (Bypassed)</x:v>
      </x:c>
      <x:c r="H7" s="11" t="str">
        <x:v>N/A (Bypassed)</x:v>
      </x:c>
      <x:c r="I7" s="11" t="str">
        <x:v>N/A (Bypassed)</x:v>
      </x:c>
      <x:c r="J7" s="11" t="str">
        <x:v>N/A (Bypassed)</x:v>
      </x:c>
      <x:c r="K7" s="11" t="str">
        <x:v>N/A</x:v>
      </x:c>
      <x:c r="L7" s="11" t="n">
        <x:v>9.9272</x:v>
      </x:c>
      <x:c r="M7" s="11" t="n">
        <x:v>2.5603</x:v>
      </x:c>
      <x:c r="N7" s="1" t="str">
        <x:v>6898be28591c4e1abe73f83f56b307e4</x:v>
      </x:c>
      <x:c r="O7" s="1" t="str">
        <x:v>Admin Office - 1</x:v>
      </x:c>
      <x:c r="P7" s="1" t="n">
        <x:v>1</x:v>
      </x:c>
      <x:c r="Q7" s="1" t="str">
        <x:v>fast_mode_logs</x:v>
      </x:c>
      <x:c r="R7" s="1" t="n">
        <x:v>2</x:v>
      </x:c>
      <x:c r="S7" s="1" t="str">
        <x:v>Reset exit</x:v>
      </x:c>
      <x:c r="T7" s="1"/>
      <x:c r="U7" s="5" t="str"/>
      <x:c r="V7" s="1" t="n">
        <x:v>0</x:v>
      </x:c>
      <x:c r="W7" s="1" t="n">
        <x:v>0</x:v>
      </x:c>
      <x:c r="X7" s="1" t="str">
        <x:v>Not applicable</x:v>
      </x:c>
      <x:c r="Y7" s="1" t="n">
        <x:f>IF(V7=1,IF(E7="GRANTED",IF(X7="GRANTED",1,0),IF(X7="DENIED",1,0)),0)</x:f>
        <x:v>0</x:v>
      </x:c>
    </x:row>
    <x:row r="8" ht="23" customHeight="1">
      <x:c r="A8" s="9" t="n">
        <x:v>46246.48390957176</x:v>
      </x:c>
      <x:c r="B8" s="1" t="str">
        <x:v>Juan Tamad</x:v>
      </x:c>
      <x:c r="C8" s="1" t="str">
        <x:v>Exit</x:v>
      </x:c>
      <x:c r="D8" s="1" t="str">
        <x:v>Fast</x:v>
      </x:c>
      <x:c r="E8" s="1" t="str">
        <x:v>GRANTED</x:v>
      </x:c>
      <x:c r="F8" s="11" t="n">
        <x:v>10.8578</x:v>
      </x:c>
      <x:c r="G8" s="11" t="str">
        <x:v>N/A (Bypassed)</x:v>
      </x:c>
      <x:c r="H8" s="11" t="str">
        <x:v>N/A (Bypassed)</x:v>
      </x:c>
      <x:c r="I8" s="11" t="str">
        <x:v>N/A (Bypassed)</x:v>
      </x:c>
      <x:c r="J8" s="11" t="str">
        <x:v>N/A (Bypassed)</x:v>
      </x:c>
      <x:c r="K8" s="11" t="str">
        <x:v>N/A</x:v>
      </x:c>
      <x:c r="L8" s="11" t="n">
        <x:v>10.8578</x:v>
      </x:c>
      <x:c r="M8" s="11" t="n">
        <x:v>2.6915</x:v>
      </x:c>
      <x:c r="N8" s="1" t="str">
        <x:v>6898be28591c4e1abe73f83f56b307e4</x:v>
      </x:c>
      <x:c r="O8" s="1" t="str">
        <x:v>Admin Office - 1</x:v>
      </x:c>
      <x:c r="P8" s="1" t="n">
        <x:v>1</x:v>
      </x:c>
      <x:c r="Q8" s="1" t="str">
        <x:v>fast_mode_logs</x:v>
      </x:c>
      <x:c r="R8" s="1" t="n">
        <x:v>3</x:v>
      </x:c>
      <x:c r="S8" s="1" t="str">
        <x:v>Reset exit</x:v>
      </x:c>
      <x:c r="T8" s="1"/>
      <x:c r="U8" s="5" t="str"/>
      <x:c r="V8" s="1" t="n">
        <x:v>0</x:v>
      </x:c>
      <x:c r="W8" s="1" t="n">
        <x:v>0</x:v>
      </x:c>
      <x:c r="X8" s="1" t="str">
        <x:v>Not applicable</x:v>
      </x:c>
      <x:c r="Y8" s="1" t="n">
        <x:f>IF(V8=1,IF(E8="GRANTED",IF(X8="GRANTED",1,0),IF(X8="DENIED",1,0)),0)</x:f>
        <x:v>0</x:v>
      </x:c>
    </x:row>
    <x:row r="9" ht="23" customHeight="1">
      <x:c r="A9" s="9" t="n">
        <x:v>46246.483883657405</x:v>
      </x:c>
      <x:c r="B9" s="1" t="str">
        <x:v>Luningning Santos</x:v>
      </x:c>
      <x:c r="C9" s="1" t="str">
        <x:v>Exit</x:v>
      </x:c>
      <x:c r="D9" s="1" t="str">
        <x:v>Fast</x:v>
      </x:c>
      <x:c r="E9" s="1" t="str">
        <x:v>GRANTED</x:v>
      </x:c>
      <x:c r="F9" s="11" t="n">
        <x:v>9.638</x:v>
      </x:c>
      <x:c r="G9" s="11" t="str">
        <x:v>N/A (Bypassed)</x:v>
      </x:c>
      <x:c r="H9" s="11" t="str">
        <x:v>N/A (Bypassed)</x:v>
      </x:c>
      <x:c r="I9" s="11" t="str">
        <x:v>N/A (Bypassed)</x:v>
      </x:c>
      <x:c r="J9" s="11" t="str">
        <x:v>N/A (Bypassed)</x:v>
      </x:c>
      <x:c r="K9" s="11" t="str">
        <x:v>N/A</x:v>
      </x:c>
      <x:c r="L9" s="11" t="n">
        <x:v>9.638</x:v>
      </x:c>
      <x:c r="M9" s="11" t="n">
        <x:v>2.6925</x:v>
      </x:c>
      <x:c r="N9" s="1" t="str">
        <x:v>6898be28591c4e1abe73f83f56b307e4</x:v>
      </x:c>
      <x:c r="O9" s="1" t="str">
        <x:v>Admin Office - 1</x:v>
      </x:c>
      <x:c r="P9" s="1" t="n">
        <x:v>1</x:v>
      </x:c>
      <x:c r="Q9" s="1" t="str">
        <x:v>fast_mode_logs</x:v>
      </x:c>
      <x:c r="R9" s="1" t="n">
        <x:v>4</x:v>
      </x:c>
      <x:c r="S9" s="1" t="str">
        <x:v>Reset exit</x:v>
      </x:c>
      <x:c r="T9" s="1"/>
      <x:c r="U9" s="5" t="str"/>
      <x:c r="V9" s="1" t="n">
        <x:v>0</x:v>
      </x:c>
      <x:c r="W9" s="1" t="n">
        <x:v>0</x:v>
      </x:c>
      <x:c r="X9" s="1" t="str">
        <x:v>Not applicable</x:v>
      </x:c>
      <x:c r="Y9" s="1" t="n">
        <x:f>IF(V9=1,IF(E9="GRANTED",IF(X9="GRANTED",1,0),IF(X9="DENIED",1,0)),0)</x:f>
        <x:v>0</x:v>
      </x:c>
    </x:row>
    <x:row r="10" ht="23" customHeight="1">
      <x:c r="A10" s="9" t="n">
        <x:v>46246.483859722226</x:v>
      </x:c>
      <x:c r="B10" s="1" t="str">
        <x:v>Teresita Gonzales</x:v>
      </x:c>
      <x:c r="C10" s="1" t="str">
        <x:v>Exit</x:v>
      </x:c>
      <x:c r="D10" s="1" t="str">
        <x:v>Fast</x:v>
      </x:c>
      <x:c r="E10" s="1" t="str">
        <x:v>GRANTED</x:v>
      </x:c>
      <x:c r="F10" s="11" t="n">
        <x:v>10.1285</x:v>
      </x:c>
      <x:c r="G10" s="11" t="str">
        <x:v>N/A (Bypassed)</x:v>
      </x:c>
      <x:c r="H10" s="11" t="str">
        <x:v>N/A (Bypassed)</x:v>
      </x:c>
      <x:c r="I10" s="11" t="str">
        <x:v>N/A (Bypassed)</x:v>
      </x:c>
      <x:c r="J10" s="11" t="str">
        <x:v>N/A (Bypassed)</x:v>
      </x:c>
      <x:c r="K10" s="11" t="str">
        <x:v>N/A</x:v>
      </x:c>
      <x:c r="L10" s="11" t="n">
        <x:v>10.1285</x:v>
      </x:c>
      <x:c r="M10" s="11" t="n">
        <x:v>1.108</x:v>
      </x:c>
      <x:c r="N10" s="1" t="str">
        <x:v>6898be28591c4e1abe73f83f56b307e4</x:v>
      </x:c>
      <x:c r="O10" s="1" t="str">
        <x:v>Admin Office - 1</x:v>
      </x:c>
      <x:c r="P10" s="1" t="n">
        <x:v>1</x:v>
      </x:c>
      <x:c r="Q10" s="1" t="str">
        <x:v>fast_mode_logs</x:v>
      </x:c>
      <x:c r="R10" s="1" t="n">
        <x:v>5</x:v>
      </x:c>
      <x:c r="S10" s="1" t="str">
        <x:v>Reset exit</x:v>
      </x:c>
      <x:c r="T10" s="1"/>
      <x:c r="U10" s="5" t="str"/>
      <x:c r="V10" s="1" t="n">
        <x:v>0</x:v>
      </x:c>
      <x:c r="W10" s="1" t="n">
        <x:v>0</x:v>
      </x:c>
      <x:c r="X10" s="1" t="str">
        <x:v>Not applicable</x:v>
      </x:c>
      <x:c r="Y10" s="1" t="n">
        <x:f>IF(V10=1,IF(E10="GRANTED",IF(X10="GRANTED",1,0),IF(X10="DENIED",1,0)),0)</x:f>
        <x:v>0</x:v>
      </x:c>
    </x:row>
    <x:row r="11" ht="23" customHeight="1">
      <x:c r="A11" s="9" t="n">
        <x:v>46246.48383508102</x:v>
      </x:c>
      <x:c r="B11" s="1" t="str">
        <x:v>Ana Delos Reyes</x:v>
      </x:c>
      <x:c r="C11" s="1" t="str">
        <x:v>Exit</x:v>
      </x:c>
      <x:c r="D11" s="1" t="str">
        <x:v>Fast</x:v>
      </x:c>
      <x:c r="E11" s="1" t="str">
        <x:v>GRANTED</x:v>
      </x:c>
      <x:c r="F11" s="11" t="n">
        <x:v>11.2889</x:v>
      </x:c>
      <x:c r="G11" s="11" t="str">
        <x:v>N/A (Bypassed)</x:v>
      </x:c>
      <x:c r="H11" s="11" t="str">
        <x:v>N/A (Bypassed)</x:v>
      </x:c>
      <x:c r="I11" s="11" t="str">
        <x:v>N/A (Bypassed)</x:v>
      </x:c>
      <x:c r="J11" s="11" t="str">
        <x:v>N/A (Bypassed)</x:v>
      </x:c>
      <x:c r="K11" s="11" t="str">
        <x:v>N/A</x:v>
      </x:c>
      <x:c r="L11" s="11" t="n">
        <x:v>11.2889</x:v>
      </x:c>
      <x:c r="M11" s="11" t="n">
        <x:v>4.0519</x:v>
      </x:c>
      <x:c r="N11" s="1" t="str">
        <x:v>6898be28591c4e1abe73f83f56b307e4</x:v>
      </x:c>
      <x:c r="O11" s="1" t="str">
        <x:v>Admin Office - 1</x:v>
      </x:c>
      <x:c r="P11" s="1" t="n">
        <x:v>1</x:v>
      </x:c>
      <x:c r="Q11" s="1" t="str">
        <x:v>fast_mode_logs</x:v>
      </x:c>
      <x:c r="R11" s="1" t="n">
        <x:v>6</x:v>
      </x:c>
      <x:c r="S11" s="1" t="str">
        <x:v>Reset exit</x:v>
      </x:c>
      <x:c r="T11" s="1"/>
      <x:c r="U11" s="5" t="str"/>
      <x:c r="V11" s="1" t="n">
        <x:v>0</x:v>
      </x:c>
      <x:c r="W11" s="1" t="n">
        <x:v>0</x:v>
      </x:c>
      <x:c r="X11" s="1" t="str">
        <x:v>Not applicable</x:v>
      </x:c>
      <x:c r="Y11" s="1" t="n">
        <x:f>IF(V11=1,IF(E11="GRANTED",IF(X11="GRANTED",1,0),IF(X11="DENIED",1,0)),0)</x:f>
        <x:v>0</x:v>
      </x:c>
    </x:row>
    <x:row r="12" ht="23" customHeight="1">
      <x:c r="A12" s="9" t="n">
        <x:v>46246.48381268518</x:v>
      </x:c>
      <x:c r="B12" s="1" t="str">
        <x:v>Maria Santos</x:v>
      </x:c>
      <x:c r="C12" s="1" t="str">
        <x:v>Exit</x:v>
      </x:c>
      <x:c r="D12" s="1" t="str">
        <x:v>Fast</x:v>
      </x:c>
      <x:c r="E12" s="1" t="str">
        <x:v>GRANTED</x:v>
      </x:c>
      <x:c r="F12" s="11" t="n">
        <x:v>48.0241</x:v>
      </x:c>
      <x:c r="G12" s="11" t="str">
        <x:v>N/A (Bypassed)</x:v>
      </x:c>
      <x:c r="H12" s="11" t="str">
        <x:v>N/A (Bypassed)</x:v>
      </x:c>
      <x:c r="I12" s="11" t="str">
        <x:v>N/A (Bypassed)</x:v>
      </x:c>
      <x:c r="J12" s="11" t="str">
        <x:v>N/A (Bypassed)</x:v>
      </x:c>
      <x:c r="K12" s="11" t="str">
        <x:v>N/A</x:v>
      </x:c>
      <x:c r="L12" s="11" t="n">
        <x:v>48.0241</x:v>
      </x:c>
      <x:c r="M12" s="11" t="n">
        <x:v>2.4733</x:v>
      </x:c>
      <x:c r="N12" s="1" t="str">
        <x:v>6898be28591c4e1abe73f83f56b307e4</x:v>
      </x:c>
      <x:c r="O12" s="1" t="str">
        <x:v>Admin Office - 1</x:v>
      </x:c>
      <x:c r="P12" s="1" t="n">
        <x:v>1</x:v>
      </x:c>
      <x:c r="Q12" s="1" t="str">
        <x:v>fast_mode_logs</x:v>
      </x:c>
      <x:c r="R12" s="1" t="n">
        <x:v>7</x:v>
      </x:c>
      <x:c r="S12" s="1" t="str">
        <x:v>Reset exit</x:v>
      </x:c>
      <x:c r="T12" s="1"/>
      <x:c r="U12" s="5" t="str"/>
      <x:c r="V12" s="1" t="n">
        <x:v>0</x:v>
      </x:c>
      <x:c r="W12" s="1" t="n">
        <x:v>0</x:v>
      </x:c>
      <x:c r="X12" s="1" t="str">
        <x:v>Not applicable</x:v>
      </x:c>
      <x:c r="Y12" s="1" t="n">
        <x:f>IF(V12=1,IF(E12="GRANTED",IF(X12="GRANTED",1,0),IF(X12="DENIED",1,0)),0)</x:f>
        <x:v>0</x:v>
      </x:c>
    </x:row>
    <x:row r="13" ht="23" customHeight="1">
      <x:c r="A13" s="9" t="n">
        <x:v>46246.48379047454</x:v>
      </x:c>
      <x:c r="B13" s="1" t="str">
        <x:v>Maria Clara</x:v>
      </x:c>
      <x:c r="C13" s="1" t="str">
        <x:v>Exit</x:v>
      </x:c>
      <x:c r="D13" s="1" t="str">
        <x:v>Fast</x:v>
      </x:c>
      <x:c r="E13" s="1" t="str">
        <x:v>GRANTED</x:v>
      </x:c>
      <x:c r="F13" s="11" t="n">
        <x:v>9.8809</x:v>
      </x:c>
      <x:c r="G13" s="11" t="str">
        <x:v>N/A (Bypassed)</x:v>
      </x:c>
      <x:c r="H13" s="11" t="str">
        <x:v>N/A (Bypassed)</x:v>
      </x:c>
      <x:c r="I13" s="11" t="str">
        <x:v>N/A (Bypassed)</x:v>
      </x:c>
      <x:c r="J13" s="11" t="str">
        <x:v>N/A (Bypassed)</x:v>
      </x:c>
      <x:c r="K13" s="11" t="str">
        <x:v>N/A</x:v>
      </x:c>
      <x:c r="L13" s="11" t="n">
        <x:v>9.8809</x:v>
      </x:c>
      <x:c r="M13" s="11" t="n">
        <x:v>3.0222</x:v>
      </x:c>
      <x:c r="N13" s="1" t="str">
        <x:v>6898be28591c4e1abe73f83f56b307e4</x:v>
      </x:c>
      <x:c r="O13" s="1" t="str">
        <x:v>Admin Office - 1</x:v>
      </x:c>
      <x:c r="P13" s="1" t="n">
        <x:v>1</x:v>
      </x:c>
      <x:c r="Q13" s="1" t="str">
        <x:v>fast_mode_logs</x:v>
      </x:c>
      <x:c r="R13" s="1" t="n">
        <x:v>8</x:v>
      </x:c>
      <x:c r="S13" s="1" t="str">
        <x:v>Reset exit</x:v>
      </x:c>
      <x:c r="T13" s="1"/>
      <x:c r="U13" s="5" t="str"/>
      <x:c r="V13" s="1" t="n">
        <x:v>0</x:v>
      </x:c>
      <x:c r="W13" s="1" t="n">
        <x:v>0</x:v>
      </x:c>
      <x:c r="X13" s="1" t="str">
        <x:v>Not applicable</x:v>
      </x:c>
      <x:c r="Y13" s="1" t="n">
        <x:f>IF(V13=1,IF(E13="GRANTED",IF(X13="GRANTED",1,0),IF(X13="DENIED",1,0)),0)</x:f>
        <x:v>0</x:v>
      </x:c>
    </x:row>
    <x:row r="14" ht="23" customHeight="1">
      <x:c r="A14" s="9" t="n">
        <x:v>46246.483762407406</x:v>
      </x:c>
      <x:c r="B14" s="1" t="str">
        <x:v>Juana Dela Cruz</x:v>
      </x:c>
      <x:c r="C14" s="1" t="str">
        <x:v>Exit</x:v>
      </x:c>
      <x:c r="D14" s="1" t="str">
        <x:v>Fast</x:v>
      </x:c>
      <x:c r="E14" s="1" t="str">
        <x:v>GRANTED</x:v>
      </x:c>
      <x:c r="F14" s="11" t="n">
        <x:v>43.3744</x:v>
      </x:c>
      <x:c r="G14" s="11" t="str">
        <x:v>N/A (Bypassed)</x:v>
      </x:c>
      <x:c r="H14" s="11" t="str">
        <x:v>N/A (Bypassed)</x:v>
      </x:c>
      <x:c r="I14" s="11" t="str">
        <x:v>N/A (Bypassed)</x:v>
      </x:c>
      <x:c r="J14" s="11" t="str">
        <x:v>N/A (Bypassed)</x:v>
      </x:c>
      <x:c r="K14" s="11" t="str">
        <x:v>N/A</x:v>
      </x:c>
      <x:c r="L14" s="11" t="n">
        <x:v>43.3744</x:v>
      </x:c>
      <x:c r="M14" s="11" t="n">
        <x:v>2.6454</x:v>
      </x:c>
      <x:c r="N14" s="1" t="str">
        <x:v>6898be28591c4e1abe73f83f56b307e4</x:v>
      </x:c>
      <x:c r="O14" s="1" t="str">
        <x:v>Admin Office - 1</x:v>
      </x:c>
      <x:c r="P14" s="1" t="n">
        <x:v>1</x:v>
      </x:c>
      <x:c r="Q14" s="1" t="str">
        <x:v>fast_mode_logs</x:v>
      </x:c>
      <x:c r="R14" s="1" t="n">
        <x:v>9</x:v>
      </x:c>
      <x:c r="S14" s="1" t="str">
        <x:v>Reset exit</x:v>
      </x:c>
      <x:c r="T14" s="1"/>
      <x:c r="U14" s="5" t="str"/>
      <x:c r="V14" s="1" t="n">
        <x:v>0</x:v>
      </x:c>
      <x:c r="W14" s="1" t="n">
        <x:v>0</x:v>
      </x:c>
      <x:c r="X14" s="1" t="str">
        <x:v>Not applicable</x:v>
      </x:c>
      <x:c r="Y14" s="1" t="n">
        <x:f>IF(V14=1,IF(E14="GRANTED",IF(X14="GRANTED",1,0),IF(X14="DENIED",1,0)),0)</x:f>
        <x:v>0</x:v>
      </x:c>
    </x:row>
    <x:row r="15" ht="23" customHeight="1">
      <x:c r="A15" s="9" t="n">
        <x:v>46246.4837390162</x:v>
      </x:c>
      <x:c r="B15" s="1" t="str">
        <x:v>Maria Dela Cruz</x:v>
      </x:c>
      <x:c r="C15" s="1" t="str">
        <x:v>Exit</x:v>
      </x:c>
      <x:c r="D15" s="1" t="str">
        <x:v>Fast</x:v>
      </x:c>
      <x:c r="E15" s="1" t="str">
        <x:v>GRANTED</x:v>
      </x:c>
      <x:c r="F15" s="11" t="n">
        <x:v>38.9046</x:v>
      </x:c>
      <x:c r="G15" s="11" t="str">
        <x:v>N/A (Bypassed)</x:v>
      </x:c>
      <x:c r="H15" s="11" t="str">
        <x:v>N/A (Bypassed)</x:v>
      </x:c>
      <x:c r="I15" s="11" t="str">
        <x:v>N/A (Bypassed)</x:v>
      </x:c>
      <x:c r="J15" s="11" t="str">
        <x:v>N/A (Bypassed)</x:v>
      </x:c>
      <x:c r="K15" s="11" t="str">
        <x:v>N/A</x:v>
      </x:c>
      <x:c r="L15" s="11" t="n">
        <x:v>38.9046</x:v>
      </x:c>
      <x:c r="M15" s="11" t="n">
        <x:v>31.5518</x:v>
      </x:c>
      <x:c r="N15" s="1" t="str">
        <x:v>6898be28591c4e1abe73f83f56b307e4</x:v>
      </x:c>
      <x:c r="O15" s="1" t="str">
        <x:v>Admin Office - 1</x:v>
      </x:c>
      <x:c r="P15" s="1" t="n">
        <x:v>1</x:v>
      </x:c>
      <x:c r="Q15" s="1" t="str">
        <x:v>fast_mode_logs</x:v>
      </x:c>
      <x:c r="R15" s="1" t="n">
        <x:v>10</x:v>
      </x:c>
      <x:c r="S15" s="1" t="str">
        <x:v>Reset exit</x:v>
      </x:c>
      <x:c r="T15" s="1"/>
      <x:c r="U15" s="5" t="str"/>
      <x:c r="V15" s="1" t="n">
        <x:v>0</x:v>
      </x:c>
      <x:c r="W15" s="1" t="n">
        <x:v>0</x:v>
      </x:c>
      <x:c r="X15" s="1" t="str">
        <x:v>Not applicable</x:v>
      </x:c>
      <x:c r="Y15" s="1" t="n">
        <x:f>IF(V15=1,IF(E15="GRANTED",IF(X15="GRANTED",1,0),IF(X15="DENIED",1,0)),0)</x:f>
        <x:v>0</x:v>
      </x:c>
    </x:row>
    <x:row r="16" ht="23" customHeight="1">
      <x:c r="A16" s="9" t="n">
        <x:v>46246.48371936343</x:v>
      </x:c>
      <x:c r="B16" s="1" t="str">
        <x:v>Basilio Magbanua</x:v>
      </x:c>
      <x:c r="C16" s="1" t="str">
        <x:v>Exit</x:v>
      </x:c>
      <x:c r="D16" s="1" t="str">
        <x:v>Fast</x:v>
      </x:c>
      <x:c r="E16" s="1" t="str">
        <x:v>GRANTED</x:v>
      </x:c>
      <x:c r="F16" s="11" t="n">
        <x:v>37.2199</x:v>
      </x:c>
      <x:c r="G16" s="11" t="str">
        <x:v>N/A (Bypassed)</x:v>
      </x:c>
      <x:c r="H16" s="11" t="str">
        <x:v>N/A (Bypassed)</x:v>
      </x:c>
      <x:c r="I16" s="11" t="str">
        <x:v>N/A (Bypassed)</x:v>
      </x:c>
      <x:c r="J16" s="11" t="str">
        <x:v>N/A (Bypassed)</x:v>
      </x:c>
      <x:c r="K16" s="11" t="str">
        <x:v>N/A</x:v>
      </x:c>
      <x:c r="L16" s="11" t="n">
        <x:v>37.2199</x:v>
      </x:c>
      <x:c r="M16" s="11" t="n">
        <x:v>2.6617</x:v>
      </x:c>
      <x:c r="N16" s="1" t="str">
        <x:v>6898be28591c4e1abe73f83f56b307e4</x:v>
      </x:c>
      <x:c r="O16" s="1" t="str">
        <x:v>Admin Office - 1</x:v>
      </x:c>
      <x:c r="P16" s="1" t="n">
        <x:v>1</x:v>
      </x:c>
      <x:c r="Q16" s="1" t="str">
        <x:v>fast_mode_logs</x:v>
      </x:c>
      <x:c r="R16" s="1" t="n">
        <x:v>11</x:v>
      </x:c>
      <x:c r="S16" s="1" t="str">
        <x:v>Reset exit</x:v>
      </x:c>
      <x:c r="T16" s="1"/>
      <x:c r="U16" s="5" t="str"/>
      <x:c r="V16" s="1" t="n">
        <x:v>0</x:v>
      </x:c>
      <x:c r="W16" s="1" t="n">
        <x:v>0</x:v>
      </x:c>
      <x:c r="X16" s="1" t="str">
        <x:v>Not applicable</x:v>
      </x:c>
      <x:c r="Y16" s="1" t="n">
        <x:f>IF(V16=1,IF(E16="GRANTED",IF(X16="GRANTED",1,0),IF(X16="DENIED",1,0)),0)</x:f>
        <x:v>0</x:v>
      </x:c>
    </x:row>
    <x:row r="17" ht="23" customHeight="1">
      <x:c r="A17" s="9" t="n">
        <x:v>46246.48369625</x:v>
      </x:c>
      <x:c r="B17" s="1" t="str">
        <x:v>Bayani Dela Rosa</x:v>
      </x:c>
      <x:c r="C17" s="1" t="str">
        <x:v>Exit</x:v>
      </x:c>
      <x:c r="D17" s="1" t="str">
        <x:v>Fast</x:v>
      </x:c>
      <x:c r="E17" s="1" t="str">
        <x:v>GRANTED</x:v>
      </x:c>
      <x:c r="F17" s="11" t="n">
        <x:v>32.1043</x:v>
      </x:c>
      <x:c r="G17" s="11" t="str">
        <x:v>N/A (Bypassed)</x:v>
      </x:c>
      <x:c r="H17" s="11" t="str">
        <x:v>N/A (Bypassed)</x:v>
      </x:c>
      <x:c r="I17" s="11" t="str">
        <x:v>N/A (Bypassed)</x:v>
      </x:c>
      <x:c r="J17" s="11" t="str">
        <x:v>N/A (Bypassed)</x:v>
      </x:c>
      <x:c r="K17" s="11" t="str">
        <x:v>N/A</x:v>
      </x:c>
      <x:c r="L17" s="11" t="n">
        <x:v>32.1043</x:v>
      </x:c>
      <x:c r="M17" s="11" t="n">
        <x:v>24.9935</x:v>
      </x:c>
      <x:c r="N17" s="1" t="str">
        <x:v>6898be28591c4e1abe73f83f56b307e4</x:v>
      </x:c>
      <x:c r="O17" s="1" t="str">
        <x:v>Admin Office - 1</x:v>
      </x:c>
      <x:c r="P17" s="1" t="n">
        <x:v>1</x:v>
      </x:c>
      <x:c r="Q17" s="1" t="str">
        <x:v>fast_mode_logs</x:v>
      </x:c>
      <x:c r="R17" s="1" t="n">
        <x:v>12</x:v>
      </x:c>
      <x:c r="S17" s="1" t="str">
        <x:v>Reset exit</x:v>
      </x:c>
      <x:c r="T17" s="1"/>
      <x:c r="U17" s="5" t="str"/>
      <x:c r="V17" s="1" t="n">
        <x:v>0</x:v>
      </x:c>
      <x:c r="W17" s="1" t="n">
        <x:v>0</x:v>
      </x:c>
      <x:c r="X17" s="1" t="str">
        <x:v>Not applicable</x:v>
      </x:c>
      <x:c r="Y17" s="1" t="n">
        <x:f>IF(V17=1,IF(E17="GRANTED",IF(X17="GRANTED",1,0),IF(X17="DENIED",1,0)),0)</x:f>
        <x:v>0</x:v>
      </x:c>
    </x:row>
    <x:row r="18" ht="23" customHeight="1">
      <x:c r="A18" s="9" t="n">
        <x:v>46246.483675069445</x:v>
      </x:c>
      <x:c r="B18" s="1" t="str">
        <x:v>Jose Mari Bautista</x:v>
      </x:c>
      <x:c r="C18" s="1" t="str">
        <x:v>Exit</x:v>
      </x:c>
      <x:c r="D18" s="1" t="str">
        <x:v>Fast</x:v>
      </x:c>
      <x:c r="E18" s="1" t="str">
        <x:v>GRANTED</x:v>
      </x:c>
      <x:c r="F18" s="11" t="n">
        <x:v>9.3039</x:v>
      </x:c>
      <x:c r="G18" s="11" t="str">
        <x:v>N/A (Bypassed)</x:v>
      </x:c>
      <x:c r="H18" s="11" t="str">
        <x:v>N/A (Bypassed)</x:v>
      </x:c>
      <x:c r="I18" s="11" t="str">
        <x:v>N/A (Bypassed)</x:v>
      </x:c>
      <x:c r="J18" s="11" t="str">
        <x:v>N/A (Bypassed)</x:v>
      </x:c>
      <x:c r="K18" s="11" t="str">
        <x:v>N/A</x:v>
      </x:c>
      <x:c r="L18" s="11" t="n">
        <x:v>9.3039</x:v>
      </x:c>
      <x:c r="M18" s="11" t="n">
        <x:v>2.4489</x:v>
      </x:c>
      <x:c r="N18" s="1" t="str">
        <x:v>6898be28591c4e1abe73f83f56b307e4</x:v>
      </x:c>
      <x:c r="O18" s="1" t="str">
        <x:v>Admin Office - 1</x:v>
      </x:c>
      <x:c r="P18" s="1" t="n">
        <x:v>1</x:v>
      </x:c>
      <x:c r="Q18" s="1" t="str">
        <x:v>fast_mode_logs</x:v>
      </x:c>
      <x:c r="R18" s="1" t="n">
        <x:v>13</x:v>
      </x:c>
      <x:c r="S18" s="1" t="str">
        <x:v>Reset exit</x:v>
      </x:c>
      <x:c r="T18" s="1"/>
      <x:c r="U18" s="5" t="str"/>
      <x:c r="V18" s="1" t="n">
        <x:v>0</x:v>
      </x:c>
      <x:c r="W18" s="1" t="n">
        <x:v>0</x:v>
      </x:c>
      <x:c r="X18" s="1" t="str">
        <x:v>Not applicable</x:v>
      </x:c>
      <x:c r="Y18" s="1" t="n">
        <x:f>IF(V18=1,IF(E18="GRANTED",IF(X18="GRANTED",1,0),IF(X18="DENIED",1,0)),0)</x:f>
        <x:v>0</x:v>
      </x:c>
    </x:row>
    <x:row r="19" ht="23" customHeight="1">
      <x:c r="A19" s="9" t="n">
        <x:v>46246.48364918982</x:v>
      </x:c>
      <x:c r="B19" s="1" t="str">
        <x:v>Angelito Fernandez</x:v>
      </x:c>
      <x:c r="C19" s="1" t="str">
        <x:v>Exit</x:v>
      </x:c>
      <x:c r="D19" s="1" t="str">
        <x:v>Fast</x:v>
      </x:c>
      <x:c r="E19" s="1" t="str">
        <x:v>GRANTED</x:v>
      </x:c>
      <x:c r="F19" s="11" t="n">
        <x:v>9.7283</x:v>
      </x:c>
      <x:c r="G19" s="11" t="str">
        <x:v>N/A (Bypassed)</x:v>
      </x:c>
      <x:c r="H19" s="11" t="str">
        <x:v>N/A (Bypassed)</x:v>
      </x:c>
      <x:c r="I19" s="11" t="str">
        <x:v>N/A (Bypassed)</x:v>
      </x:c>
      <x:c r="J19" s="11" t="str">
        <x:v>N/A (Bypassed)</x:v>
      </x:c>
      <x:c r="K19" s="11" t="str">
        <x:v>N/A</x:v>
      </x:c>
      <x:c r="L19" s="11" t="n">
        <x:v>9.7283</x:v>
      </x:c>
      <x:c r="M19" s="11" t="n">
        <x:v>2.6513</x:v>
      </x:c>
      <x:c r="N19" s="1" t="str">
        <x:v>6898be28591c4e1abe73f83f56b307e4</x:v>
      </x:c>
      <x:c r="O19" s="1" t="str">
        <x:v>Admin Office - 1</x:v>
      </x:c>
      <x:c r="P19" s="1" t="n">
        <x:v>1</x:v>
      </x:c>
      <x:c r="Q19" s="1" t="str">
        <x:v>fast_mode_logs</x:v>
      </x:c>
      <x:c r="R19" s="1" t="n">
        <x:v>14</x:v>
      </x:c>
      <x:c r="S19" s="1" t="str">
        <x:v>Reset exit</x:v>
      </x:c>
      <x:c r="T19" s="1"/>
      <x:c r="U19" s="5" t="str"/>
      <x:c r="V19" s="1" t="n">
        <x:v>0</x:v>
      </x:c>
      <x:c r="W19" s="1" t="n">
        <x:v>0</x:v>
      </x:c>
      <x:c r="X19" s="1" t="str">
        <x:v>Not applicable</x:v>
      </x:c>
      <x:c r="Y19" s="1" t="n">
        <x:f>IF(V19=1,IF(E19="GRANTED",IF(X19="GRANTED",1,0),IF(X19="DENIED",1,0)),0)</x:f>
        <x:v>0</x:v>
      </x:c>
    </x:row>
    <x:row r="20" ht="23" customHeight="1">
      <x:c r="A20" s="9" t="n">
        <x:v>46246.48362712963</x:v>
      </x:c>
      <x:c r="B20" s="1" t="str">
        <x:v>Roberto Ramos</x:v>
      </x:c>
      <x:c r="C20" s="1" t="str">
        <x:v>Exit</x:v>
      </x:c>
      <x:c r="D20" s="1" t="str">
        <x:v>Fast</x:v>
      </x:c>
      <x:c r="E20" s="1" t="str">
        <x:v>GRANTED</x:v>
      </x:c>
      <x:c r="F20" s="11" t="n">
        <x:v>11.1689</x:v>
      </x:c>
      <x:c r="G20" s="11" t="str">
        <x:v>N/A (Bypassed)</x:v>
      </x:c>
      <x:c r="H20" s="11" t="str">
        <x:v>N/A (Bypassed)</x:v>
      </x:c>
      <x:c r="I20" s="11" t="str">
        <x:v>N/A (Bypassed)</x:v>
      </x:c>
      <x:c r="J20" s="11" t="str">
        <x:v>N/A (Bypassed)</x:v>
      </x:c>
      <x:c r="K20" s="11" t="str">
        <x:v>N/A</x:v>
      </x:c>
      <x:c r="L20" s="11" t="n">
        <x:v>11.1689</x:v>
      </x:c>
      <x:c r="M20" s="11" t="n">
        <x:v>2.9139</x:v>
      </x:c>
      <x:c r="N20" s="1" t="str">
        <x:v>6898be28591c4e1abe73f83f56b307e4</x:v>
      </x:c>
      <x:c r="O20" s="1" t="str">
        <x:v>Admin Office - 1</x:v>
      </x:c>
      <x:c r="P20" s="1" t="n">
        <x:v>1</x:v>
      </x:c>
      <x:c r="Q20" s="1" t="str">
        <x:v>fast_mode_logs</x:v>
      </x:c>
      <x:c r="R20" s="1" t="n">
        <x:v>15</x:v>
      </x:c>
      <x:c r="S20" s="1" t="str">
        <x:v>Reset exit</x:v>
      </x:c>
      <x:c r="T20" s="1"/>
      <x:c r="U20" s="5" t="str"/>
      <x:c r="V20" s="1" t="n">
        <x:v>0</x:v>
      </x:c>
      <x:c r="W20" s="1" t="n">
        <x:v>0</x:v>
      </x:c>
      <x:c r="X20" s="1" t="str">
        <x:v>Not applicable</x:v>
      </x:c>
      <x:c r="Y20" s="1" t="n">
        <x:f>IF(V20=1,IF(E20="GRANTED",IF(X20="GRANTED",1,0),IF(X20="DENIED",1,0)),0)</x:f>
        <x:v>0</x:v>
      </x:c>
    </x:row>
    <x:row r="21" ht="23" customHeight="1">
      <x:c r="A21" s="9" t="n">
        <x:v>46246.48360378473</x:v>
      </x:c>
      <x:c r="B21" s="1" t="str">
        <x:v>Juanito Delos Santos</x:v>
      </x:c>
      <x:c r="C21" s="1" t="str">
        <x:v>Exit</x:v>
      </x:c>
      <x:c r="D21" s="1" t="str">
        <x:v>Fast</x:v>
      </x:c>
      <x:c r="E21" s="1" t="str">
        <x:v>GRANTED</x:v>
      </x:c>
      <x:c r="F21" s="11" t="n">
        <x:v>11.3229</x:v>
      </x:c>
      <x:c r="G21" s="11" t="str">
        <x:v>N/A (Bypassed)</x:v>
      </x:c>
      <x:c r="H21" s="11" t="str">
        <x:v>N/A (Bypassed)</x:v>
      </x:c>
      <x:c r="I21" s="11" t="str">
        <x:v>N/A (Bypassed)</x:v>
      </x:c>
      <x:c r="J21" s="11" t="str">
        <x:v>N/A (Bypassed)</x:v>
      </x:c>
      <x:c r="K21" s="11" t="str">
        <x:v>N/A</x:v>
      </x:c>
      <x:c r="L21" s="11" t="n">
        <x:v>11.3229</x:v>
      </x:c>
      <x:c r="M21" s="11" t="n">
        <x:v>3.9641</x:v>
      </x:c>
      <x:c r="N21" s="1" t="str">
        <x:v>6898be28591c4e1abe73f83f56b307e4</x:v>
      </x:c>
      <x:c r="O21" s="1" t="str">
        <x:v>Admin Office - 1</x:v>
      </x:c>
      <x:c r="P21" s="1" t="n">
        <x:v>1</x:v>
      </x:c>
      <x:c r="Q21" s="1" t="str">
        <x:v>fast_mode_logs</x:v>
      </x:c>
      <x:c r="R21" s="1" t="n">
        <x:v>16</x:v>
      </x:c>
      <x:c r="S21" s="1" t="str">
        <x:v>Reset exit</x:v>
      </x:c>
      <x:c r="T21" s="1"/>
      <x:c r="U21" s="5" t="str"/>
      <x:c r="V21" s="1" t="n">
        <x:v>0</x:v>
      </x:c>
      <x:c r="W21" s="1" t="n">
        <x:v>0</x:v>
      </x:c>
      <x:c r="X21" s="1" t="str">
        <x:v>Not applicable</x:v>
      </x:c>
      <x:c r="Y21" s="1" t="n">
        <x:f>IF(V21=1,IF(E21="GRANTED",IF(X21="GRANTED",1,0),IF(X21="DENIED",1,0)),0)</x:f>
        <x:v>0</x:v>
      </x:c>
    </x:row>
    <x:row r="22" ht="23" customHeight="1">
      <x:c r="A22" s="9" t="n">
        <x:v>46246.48357788194</x:v>
      </x:c>
      <x:c r="B22" s="1" t="str">
        <x:v>[TEMP] Manuel Mendoza</x:v>
      </x:c>
      <x:c r="C22" s="1" t="str">
        <x:v>Exit</x:v>
      </x:c>
      <x:c r="D22" s="1" t="str">
        <x:v>Fast</x:v>
      </x:c>
      <x:c r="E22" s="1" t="str">
        <x:v>GRANTED</x:v>
      </x:c>
      <x:c r="F22" s="11" t="n">
        <x:v>10.4559</x:v>
      </x:c>
      <x:c r="G22" s="11" t="str">
        <x:v>N/A (Bypassed)</x:v>
      </x:c>
      <x:c r="H22" s="11" t="str">
        <x:v>N/A (Bypassed)</x:v>
      </x:c>
      <x:c r="I22" s="11" t="str">
        <x:v>N/A (Bypassed)</x:v>
      </x:c>
      <x:c r="J22" s="11" t="str">
        <x:v>N/A (Bypassed)</x:v>
      </x:c>
      <x:c r="K22" s="11" t="str">
        <x:v>N/A</x:v>
      </x:c>
      <x:c r="L22" s="11" t="n">
        <x:v>10.4559</x:v>
      </x:c>
      <x:c r="M22" s="11" t="n">
        <x:v>2.5048</x:v>
      </x:c>
      <x:c r="N22" s="1" t="str">
        <x:v>6898be28591c4e1abe73f83f56b307e4</x:v>
      </x:c>
      <x:c r="O22" s="1" t="str">
        <x:v>Admin Office - 1</x:v>
      </x:c>
      <x:c r="P22" s="1" t="n">
        <x:v>1</x:v>
      </x:c>
      <x:c r="Q22" s="1" t="str">
        <x:v>fast_mode_logs</x:v>
      </x:c>
      <x:c r="R22" s="1" t="n">
        <x:v>17</x:v>
      </x:c>
      <x:c r="S22" s="1" t="str">
        <x:v>Reset exit</x:v>
      </x:c>
      <x:c r="T22" s="1"/>
      <x:c r="U22" s="5" t="str"/>
      <x:c r="V22" s="1" t="n">
        <x:v>0</x:v>
      </x:c>
      <x:c r="W22" s="1" t="n">
        <x:v>0</x:v>
      </x:c>
      <x:c r="X22" s="1" t="str">
        <x:v>Not applicable</x:v>
      </x:c>
      <x:c r="Y22" s="1" t="n">
        <x:f>IF(V22=1,IF(E22="GRANTED",IF(X22="GRANTED",1,0),IF(X22="DENIED",1,0)),0)</x:f>
        <x:v>0</x:v>
      </x:c>
    </x:row>
    <x:row r="23" ht="23" customHeight="1">
      <x:c r="A23" s="9" t="n">
        <x:v>46246.48353033565</x:v>
      </x:c>
      <x:c r="B23" s="1" t="str">
        <x:v>Francisco Garcia</x:v>
      </x:c>
      <x:c r="C23" s="1" t="str">
        <x:v>Exit</x:v>
      </x:c>
      <x:c r="D23" s="1" t="str">
        <x:v>Fast</x:v>
      </x:c>
      <x:c r="E23" s="1" t="str">
        <x:v>GRANTED</x:v>
      </x:c>
      <x:c r="F23" s="11" t="n">
        <x:v>9.9771</x:v>
      </x:c>
      <x:c r="G23" s="11" t="str">
        <x:v>N/A (Bypassed)</x:v>
      </x:c>
      <x:c r="H23" s="11" t="str">
        <x:v>N/A (Bypassed)</x:v>
      </x:c>
      <x:c r="I23" s="11" t="str">
        <x:v>N/A (Bypassed)</x:v>
      </x:c>
      <x:c r="J23" s="11" t="str">
        <x:v>N/A (Bypassed)</x:v>
      </x:c>
      <x:c r="K23" s="11" t="str">
        <x:v>N/A</x:v>
      </x:c>
      <x:c r="L23" s="11" t="n">
        <x:v>9.9771</x:v>
      </x:c>
      <x:c r="M23" s="11" t="n">
        <x:v>2.5677</x:v>
      </x:c>
      <x:c r="N23" s="1" t="str">
        <x:v>6898be28591c4e1abe73f83f56b307e4</x:v>
      </x:c>
      <x:c r="O23" s="1" t="str">
        <x:v>Admin Office - 1</x:v>
      </x:c>
      <x:c r="P23" s="1" t="n">
        <x:v>1</x:v>
      </x:c>
      <x:c r="Q23" s="1" t="str">
        <x:v>fast_mode_logs</x:v>
      </x:c>
      <x:c r="R23" s="1" t="n">
        <x:v>18</x:v>
      </x:c>
      <x:c r="S23" s="1" t="str">
        <x:v>Reset exit</x:v>
      </x:c>
      <x:c r="T23" s="1"/>
      <x:c r="U23" s="5" t="str"/>
      <x:c r="V23" s="1" t="n">
        <x:v>0</x:v>
      </x:c>
      <x:c r="W23" s="1" t="n">
        <x:v>0</x:v>
      </x:c>
      <x:c r="X23" s="1" t="str">
        <x:v>Not applicable</x:v>
      </x:c>
      <x:c r="Y23" s="1" t="n">
        <x:f>IF(V23=1,IF(E23="GRANTED",IF(X23="GRANTED",1,0),IF(X23="DENIED",1,0)),0)</x:f>
        <x:v>0</x:v>
      </x:c>
    </x:row>
    <x:row r="24" ht="23" customHeight="1">
      <x:c r="A24" s="9" t="n">
        <x:v>46246.48350891204</x:v>
      </x:c>
      <x:c r="B24" s="1" t="str">
        <x:v>[TEMP] Pedro Reyes</x:v>
      </x:c>
      <x:c r="C24" s="1" t="str">
        <x:v>Exit</x:v>
      </x:c>
      <x:c r="D24" s="1" t="str">
        <x:v>Fast</x:v>
      </x:c>
      <x:c r="E24" s="1" t="str">
        <x:v>GRANTED</x:v>
      </x:c>
      <x:c r="F24" s="11" t="n">
        <x:v>9.949</x:v>
      </x:c>
      <x:c r="G24" s="11" t="str">
        <x:v>N/A (Bypassed)</x:v>
      </x:c>
      <x:c r="H24" s="11" t="str">
        <x:v>N/A (Bypassed)</x:v>
      </x:c>
      <x:c r="I24" s="11" t="str">
        <x:v>N/A (Bypassed)</x:v>
      </x:c>
      <x:c r="J24" s="11" t="str">
        <x:v>N/A (Bypassed)</x:v>
      </x:c>
      <x:c r="K24" s="11" t="str">
        <x:v>N/A</x:v>
      </x:c>
      <x:c r="L24" s="11" t="n">
        <x:v>9.949</x:v>
      </x:c>
      <x:c r="M24" s="11" t="n">
        <x:v>2.5861</x:v>
      </x:c>
      <x:c r="N24" s="1" t="str">
        <x:v>6898be28591c4e1abe73f83f56b307e4</x:v>
      </x:c>
      <x:c r="O24" s="1" t="str">
        <x:v>Admin Office - 1</x:v>
      </x:c>
      <x:c r="P24" s="1" t="n">
        <x:v>1</x:v>
      </x:c>
      <x:c r="Q24" s="1" t="str">
        <x:v>fast_mode_logs</x:v>
      </x:c>
      <x:c r="R24" s="1" t="n">
        <x:v>19</x:v>
      </x:c>
      <x:c r="S24" s="1" t="str">
        <x:v>Reset exit</x:v>
      </x:c>
      <x:c r="T24" s="1"/>
      <x:c r="U24" s="5" t="str"/>
      <x:c r="V24" s="1" t="n">
        <x:v>0</x:v>
      </x:c>
      <x:c r="W24" s="1" t="n">
        <x:v>0</x:v>
      </x:c>
      <x:c r="X24" s="1" t="str">
        <x:v>Not applicable</x:v>
      </x:c>
      <x:c r="Y24" s="1" t="n">
        <x:f>IF(V24=1,IF(E24="GRANTED",IF(X24="GRANTED",1,0),IF(X24="DENIED",1,0)),0)</x:f>
        <x:v>0</x:v>
      </x:c>
    </x:row>
    <x:row r="25" ht="23" customHeight="1">
      <x:c r="A25" s="9" t="n">
        <x:v>46246.4834862037</x:v>
      </x:c>
      <x:c r="B25" s="1" t="str">
        <x:v>[TEMP] Jose Santos</x:v>
      </x:c>
      <x:c r="C25" s="1" t="str">
        <x:v>Exit</x:v>
      </x:c>
      <x:c r="D25" s="1" t="str">
        <x:v>Fast</x:v>
      </x:c>
      <x:c r="E25" s="1" t="str">
        <x:v>GRANTED</x:v>
      </x:c>
      <x:c r="F25" s="11" t="n">
        <x:v>10.2197</x:v>
      </x:c>
      <x:c r="G25" s="11" t="str">
        <x:v>N/A (Bypassed)</x:v>
      </x:c>
      <x:c r="H25" s="11" t="str">
        <x:v>N/A (Bypassed)</x:v>
      </x:c>
      <x:c r="I25" s="11" t="str">
        <x:v>N/A (Bypassed)</x:v>
      </x:c>
      <x:c r="J25" s="11" t="str">
        <x:v>N/A (Bypassed)</x:v>
      </x:c>
      <x:c r="K25" s="11" t="str">
        <x:v>N/A</x:v>
      </x:c>
      <x:c r="L25" s="11" t="n">
        <x:v>10.2197</x:v>
      </x:c>
      <x:c r="M25" s="11" t="n">
        <x:v>2.463</x:v>
      </x:c>
      <x:c r="N25" s="1" t="str">
        <x:v>6898be28591c4e1abe73f83f56b307e4</x:v>
      </x:c>
      <x:c r="O25" s="1" t="str">
        <x:v>Admin Office - 1</x:v>
      </x:c>
      <x:c r="P25" s="1" t="n">
        <x:v>1</x:v>
      </x:c>
      <x:c r="Q25" s="1" t="str">
        <x:v>fast_mode_logs</x:v>
      </x:c>
      <x:c r="R25" s="1" t="n">
        <x:v>20</x:v>
      </x:c>
      <x:c r="S25" s="1" t="str">
        <x:v>Reset exit</x:v>
      </x:c>
      <x:c r="T25" s="1"/>
      <x:c r="U25" s="5" t="str"/>
      <x:c r="V25" s="1" t="n">
        <x:v>0</x:v>
      </x:c>
      <x:c r="W25" s="1" t="n">
        <x:v>0</x:v>
      </x:c>
      <x:c r="X25" s="1" t="str">
        <x:v>Not applicable</x:v>
      </x:c>
      <x:c r="Y25" s="1" t="n">
        <x:f>IF(V25=1,IF(E25="GRANTED",IF(X25="GRANTED",1,0),IF(X25="DENIED",1,0)),0)</x:f>
        <x:v>0</x:v>
      </x:c>
    </x:row>
    <x:row r="26" ht="23" customHeight="1">
      <x:c r="A26" s="9" t="n">
        <x:v>46246.48346071759</x:v>
      </x:c>
      <x:c r="B26" s="1" t="str">
        <x:v>[TEMP] Juan Dela Cruz</x:v>
      </x:c>
      <x:c r="C26" s="1" t="str">
        <x:v>Exit</x:v>
      </x:c>
      <x:c r="D26" s="1" t="str">
        <x:v>Fast</x:v>
      </x:c>
      <x:c r="E26" s="1" t="str">
        <x:v>GRANTED</x:v>
      </x:c>
      <x:c r="F26" s="11" t="n">
        <x:v>10.6515</x:v>
      </x:c>
      <x:c r="G26" s="11" t="str">
        <x:v>N/A (Bypassed)</x:v>
      </x:c>
      <x:c r="H26" s="11" t="str">
        <x:v>N/A (Bypassed)</x:v>
      </x:c>
      <x:c r="I26" s="11" t="str">
        <x:v>N/A (Bypassed)</x:v>
      </x:c>
      <x:c r="J26" s="11" t="str">
        <x:v>N/A (Bypassed)</x:v>
      </x:c>
      <x:c r="K26" s="11" t="str">
        <x:v>N/A</x:v>
      </x:c>
      <x:c r="L26" s="11" t="n">
        <x:v>10.6515</x:v>
      </x:c>
      <x:c r="M26" s="11" t="n">
        <x:v>2.6511</x:v>
      </x:c>
      <x:c r="N26" s="1" t="str">
        <x:v>6898be28591c4e1abe73f83f56b307e4</x:v>
      </x:c>
      <x:c r="O26" s="1" t="str">
        <x:v>Admin Office - 1</x:v>
      </x:c>
      <x:c r="P26" s="1" t="n">
        <x:v>1</x:v>
      </x:c>
      <x:c r="Q26" s="1" t="str">
        <x:v>fast_mode_logs</x:v>
      </x:c>
      <x:c r="R26" s="1" t="n">
        <x:v>21</x:v>
      </x:c>
      <x:c r="S26" s="1" t="str">
        <x:v>Reset exit</x:v>
      </x:c>
      <x:c r="T26" s="1"/>
      <x:c r="U26" s="5" t="str"/>
      <x:c r="V26" s="1" t="n">
        <x:v>0</x:v>
      </x:c>
      <x:c r="W26" s="1" t="n">
        <x:v>0</x:v>
      </x:c>
      <x:c r="X26" s="1" t="str">
        <x:v>Not applicable</x:v>
      </x:c>
      <x:c r="Y26" s="1" t="n">
        <x:f>IF(V26=1,IF(E26="GRANTED",IF(X26="GRANTED",1,0),IF(X26="DENIED",1,0)),0)</x:f>
        <x:v>0</x:v>
      </x:c>
    </x:row>
    <x:row r="27" ht="23" customHeight="1">
      <x:c r="A27" s="9" t="n">
        <x:v>46246.483159675925</x:v>
      </x:c>
      <x:c r="B27" s="1" t="str">
        <x:v>Pedro Penduko</x:v>
      </x:c>
      <x:c r="C27" s="1" t="str">
        <x:v>Entry</x:v>
      </x:c>
      <x:c r="D27" s="1" t="str">
        <x:v>Fast</x:v>
      </x:c>
      <x:c r="E27" s="1" t="str">
        <x:v>GRANTED</x:v>
      </x:c>
      <x:c r="F27" s="11" t="n">
        <x:v>12.7375</x:v>
      </x:c>
      <x:c r="G27" s="11" t="str">
        <x:v>N/A (Bypassed)</x:v>
      </x:c>
      <x:c r="H27" s="11" t="str">
        <x:v>N/A (Bypassed)</x:v>
      </x:c>
      <x:c r="I27" s="11" t="str">
        <x:v>N/A (Bypassed)</x:v>
      </x:c>
      <x:c r="J27" s="11" t="str">
        <x:v>N/A (Bypassed)</x:v>
      </x:c>
      <x:c r="K27" s="11" t="str">
        <x:v>N/A</x:v>
      </x:c>
      <x:c r="L27" s="11" t="n">
        <x:v>12.7375</x:v>
      </x:c>
      <x:c r="M27" s="11" t="n">
        <x:v>3.9824</x:v>
      </x:c>
      <x:c r="N27" s="1" t="str">
        <x:v>6898be28591c4e1abe73f83f56b307e4</x:v>
      </x:c>
      <x:c r="O27" s="1" t="str">
        <x:v>Admin Office - 1</x:v>
      </x:c>
      <x:c r="P27" s="1" t="n">
        <x:v>1</x:v>
      </x:c>
      <x:c r="Q27" s="1" t="str">
        <x:v>fast_mode_logs</x:v>
      </x:c>
      <x:c r="R27" s="1" t="n">
        <x:v>22</x:v>
      </x:c>
      <x:c r="S27" s="1" t="str">
        <x:v>Successful entry</x:v>
      </x:c>
      <x:c r="T27" s="1" t="n">
        <x:v>2</x:v>
      </x:c>
      <x:c r="U27" s="5" t="str"/>
      <x:c r="V27" s="1" t="n">
        <x:v>1</x:v>
      </x:c>
      <x:c r="W27" s="1" t="n">
        <x:v>0</x:v>
      </x:c>
      <x:c r="X27" s="1" t="str">
        <x:v>GRANTED</x:v>
      </x:c>
      <x:c r="Y27" s="1" t="n">
        <x:f>IF(V27=1,IF(E27="GRANTED",IF(X27="GRANTED",1,0),IF(X27="DENIED",1,0)),0)</x:f>
        <x:v>1</x:v>
      </x:c>
    </x:row>
    <x:row r="28" ht="23" customHeight="1">
      <x:c r="A28" s="9" t="n">
        <x:v>46246.48312329861</x:v>
      </x:c>
      <x:c r="B28" s="1" t="str">
        <x:v>Juan Tamad</x:v>
      </x:c>
      <x:c r="C28" s="1" t="str">
        <x:v>Entry</x:v>
      </x:c>
      <x:c r="D28" s="1" t="str">
        <x:v>Fast</x:v>
      </x:c>
      <x:c r="E28" s="1" t="str">
        <x:v>GRANTED</x:v>
      </x:c>
      <x:c r="F28" s="11" t="n">
        <x:v>10.7064</x:v>
      </x:c>
      <x:c r="G28" s="11" t="str">
        <x:v>N/A (Bypassed)</x:v>
      </x:c>
      <x:c r="H28" s="11" t="str">
        <x:v>N/A (Bypassed)</x:v>
      </x:c>
      <x:c r="I28" s="11" t="str">
        <x:v>N/A (Bypassed)</x:v>
      </x:c>
      <x:c r="J28" s="11" t="str">
        <x:v>N/A (Bypassed)</x:v>
      </x:c>
      <x:c r="K28" s="11" t="str">
        <x:v>N/A</x:v>
      </x:c>
      <x:c r="L28" s="11" t="n">
        <x:v>10.7064</x:v>
      </x:c>
      <x:c r="M28" s="11" t="n">
        <x:v>2.4412</x:v>
      </x:c>
      <x:c r="N28" s="1" t="str">
        <x:v>6898be28591c4e1abe73f83f56b307e4</x:v>
      </x:c>
      <x:c r="O28" s="1" t="str">
        <x:v>Admin Office - 1</x:v>
      </x:c>
      <x:c r="P28" s="1" t="n">
        <x:v>1</x:v>
      </x:c>
      <x:c r="Q28" s="1" t="str">
        <x:v>fast_mode_logs</x:v>
      </x:c>
      <x:c r="R28" s="1" t="n">
        <x:v>23</x:v>
      </x:c>
      <x:c r="S28" s="1" t="str">
        <x:v>Successful entry</x:v>
      </x:c>
      <x:c r="T28" s="1" t="n">
        <x:v>2</x:v>
      </x:c>
      <x:c r="U28" s="5" t="str"/>
      <x:c r="V28" s="1" t="n">
        <x:v>1</x:v>
      </x:c>
      <x:c r="W28" s="1" t="n">
        <x:v>0</x:v>
      </x:c>
      <x:c r="X28" s="1" t="str">
        <x:v>GRANTED</x:v>
      </x:c>
      <x:c r="Y28" s="1" t="n">
        <x:f>IF(V28=1,IF(E28="GRANTED",IF(X28="GRANTED",1,0),IF(X28="DENIED",1,0)),0)</x:f>
        <x:v>1</x:v>
      </x:c>
    </x:row>
    <x:row r="29" ht="23" customHeight="1">
      <x:c r="A29" s="9" t="n">
        <x:v>46246.48309548611</x:v>
      </x:c>
      <x:c r="B29" s="1" t="str">
        <x:v>Luningning Santos</x:v>
      </x:c>
      <x:c r="C29" s="1" t="str">
        <x:v>Entry</x:v>
      </x:c>
      <x:c r="D29" s="1" t="str">
        <x:v>Fast</x:v>
      </x:c>
      <x:c r="E29" s="1" t="str">
        <x:v>GRANTED</x:v>
      </x:c>
      <x:c r="F29" s="11" t="n">
        <x:v>10.3644</x:v>
      </x:c>
      <x:c r="G29" s="11" t="str">
        <x:v>N/A (Bypassed)</x:v>
      </x:c>
      <x:c r="H29" s="11" t="str">
        <x:v>N/A (Bypassed)</x:v>
      </x:c>
      <x:c r="I29" s="11" t="str">
        <x:v>N/A (Bypassed)</x:v>
      </x:c>
      <x:c r="J29" s="11" t="str">
        <x:v>N/A (Bypassed)</x:v>
      </x:c>
      <x:c r="K29" s="11" t="str">
        <x:v>N/A</x:v>
      </x:c>
      <x:c r="L29" s="11" t="n">
        <x:v>10.3644</x:v>
      </x:c>
      <x:c r="M29" s="11" t="n">
        <x:v>2.8039</x:v>
      </x:c>
      <x:c r="N29" s="1" t="str">
        <x:v>6898be28591c4e1abe73f83f56b307e4</x:v>
      </x:c>
      <x:c r="O29" s="1" t="str">
        <x:v>Admin Office - 1</x:v>
      </x:c>
      <x:c r="P29" s="1" t="n">
        <x:v>1</x:v>
      </x:c>
      <x:c r="Q29" s="1" t="str">
        <x:v>fast_mode_logs</x:v>
      </x:c>
      <x:c r="R29" s="1" t="n">
        <x:v>24</x:v>
      </x:c>
      <x:c r="S29" s="1" t="str">
        <x:v>Successful entry</x:v>
      </x:c>
      <x:c r="T29" s="1" t="n">
        <x:v>2</x:v>
      </x:c>
      <x:c r="U29" s="5" t="str"/>
      <x:c r="V29" s="1" t="n">
        <x:v>1</x:v>
      </x:c>
      <x:c r="W29" s="1" t="n">
        <x:v>0</x:v>
      </x:c>
      <x:c r="X29" s="1" t="str">
        <x:v>GRANTED</x:v>
      </x:c>
      <x:c r="Y29" s="1" t="n">
        <x:f>IF(V29=1,IF(E29="GRANTED",IF(X29="GRANTED",1,0),IF(X29="DENIED",1,0)),0)</x:f>
        <x:v>1</x:v>
      </x:c>
    </x:row>
    <x:row r="30" ht="23" customHeight="1">
      <x:c r="A30" s="9" t="n">
        <x:v>46246.48306452546</x:v>
      </x:c>
      <x:c r="B30" s="1" t="str">
        <x:v>Teresita Gonzales</x:v>
      </x:c>
      <x:c r="C30" s="1" t="str">
        <x:v>Entry</x:v>
      </x:c>
      <x:c r="D30" s="1" t="str">
        <x:v>Fast</x:v>
      </x:c>
      <x:c r="E30" s="1" t="str">
        <x:v>GRANTED</x:v>
      </x:c>
      <x:c r="F30" s="11" t="n">
        <x:v>9.6965</x:v>
      </x:c>
      <x:c r="G30" s="11" t="str">
        <x:v>N/A (Bypassed)</x:v>
      </x:c>
      <x:c r="H30" s="11" t="str">
        <x:v>N/A (Bypassed)</x:v>
      </x:c>
      <x:c r="I30" s="11" t="str">
        <x:v>N/A (Bypassed)</x:v>
      </x:c>
      <x:c r="J30" s="11" t="str">
        <x:v>N/A (Bypassed)</x:v>
      </x:c>
      <x:c r="K30" s="11" t="str">
        <x:v>N/A</x:v>
      </x:c>
      <x:c r="L30" s="11" t="n">
        <x:v>9.6965</x:v>
      </x:c>
      <x:c r="M30" s="11" t="n">
        <x:v>2.3245</x:v>
      </x:c>
      <x:c r="N30" s="1" t="str">
        <x:v>6898be28591c4e1abe73f83f56b307e4</x:v>
      </x:c>
      <x:c r="O30" s="1" t="str">
        <x:v>Admin Office - 1</x:v>
      </x:c>
      <x:c r="P30" s="1" t="n">
        <x:v>1</x:v>
      </x:c>
      <x:c r="Q30" s="1" t="str">
        <x:v>fast_mode_logs</x:v>
      </x:c>
      <x:c r="R30" s="1" t="n">
        <x:v>25</x:v>
      </x:c>
      <x:c r="S30" s="1" t="str">
        <x:v>Successful entry</x:v>
      </x:c>
      <x:c r="T30" s="1" t="n">
        <x:v>2</x:v>
      </x:c>
      <x:c r="U30" s="5" t="str"/>
      <x:c r="V30" s="1" t="n">
        <x:v>1</x:v>
      </x:c>
      <x:c r="W30" s="1" t="n">
        <x:v>0</x:v>
      </x:c>
      <x:c r="X30" s="1" t="str">
        <x:v>GRANTED</x:v>
      </x:c>
      <x:c r="Y30" s="1" t="n">
        <x:f>IF(V30=1,IF(E30="GRANTED",IF(X30="GRANTED",1,0),IF(X30="DENIED",1,0)),0)</x:f>
        <x:v>1</x:v>
      </x:c>
    </x:row>
    <x:row r="31" ht="23" customHeight="1">
      <x:c r="A31" s="9" t="n">
        <x:v>46246.48303545139</x:v>
      </x:c>
      <x:c r="B31" s="1" t="str">
        <x:v>Ana Delos Reyes</x:v>
      </x:c>
      <x:c r="C31" s="1" t="str">
        <x:v>Entry</x:v>
      </x:c>
      <x:c r="D31" s="1" t="str">
        <x:v>Fast</x:v>
      </x:c>
      <x:c r="E31" s="1" t="str">
        <x:v>GRANTED</x:v>
      </x:c>
      <x:c r="F31" s="11" t="n">
        <x:v>12.2639</x:v>
      </x:c>
      <x:c r="G31" s="11" t="str">
        <x:v>N/A (Bypassed)</x:v>
      </x:c>
      <x:c r="H31" s="11" t="str">
        <x:v>N/A (Bypassed)</x:v>
      </x:c>
      <x:c r="I31" s="11" t="str">
        <x:v>N/A (Bypassed)</x:v>
      </x:c>
      <x:c r="J31" s="11" t="str">
        <x:v>N/A (Bypassed)</x:v>
      </x:c>
      <x:c r="K31" s="11" t="str">
        <x:v>N/A</x:v>
      </x:c>
      <x:c r="L31" s="11" t="n">
        <x:v>12.2639</x:v>
      </x:c>
      <x:c r="M31" s="11" t="n">
        <x:v>2.6082</x:v>
      </x:c>
      <x:c r="N31" s="1" t="str">
        <x:v>6898be28591c4e1abe73f83f56b307e4</x:v>
      </x:c>
      <x:c r="O31" s="1" t="str">
        <x:v>Admin Office - 1</x:v>
      </x:c>
      <x:c r="P31" s="1" t="n">
        <x:v>1</x:v>
      </x:c>
      <x:c r="Q31" s="1" t="str">
        <x:v>fast_mode_logs</x:v>
      </x:c>
      <x:c r="R31" s="1" t="n">
        <x:v>26</x:v>
      </x:c>
      <x:c r="S31" s="1" t="str">
        <x:v>Successful entry</x:v>
      </x:c>
      <x:c r="T31" s="1" t="n">
        <x:v>2</x:v>
      </x:c>
      <x:c r="U31" s="5" t="str"/>
      <x:c r="V31" s="1" t="n">
        <x:v>1</x:v>
      </x:c>
      <x:c r="W31" s="1" t="n">
        <x:v>0</x:v>
      </x:c>
      <x:c r="X31" s="1" t="str">
        <x:v>GRANTED</x:v>
      </x:c>
      <x:c r="Y31" s="1" t="n">
        <x:f>IF(V31=1,IF(E31="GRANTED",IF(X31="GRANTED",1,0),IF(X31="DENIED",1,0)),0)</x:f>
        <x:v>1</x:v>
      </x:c>
    </x:row>
    <x:row r="32" ht="23" customHeight="1">
      <x:c r="A32" s="9" t="n">
        <x:v>46246.483005625</x:v>
      </x:c>
      <x:c r="B32" s="1" t="str">
        <x:v>Maria Santos</x:v>
      </x:c>
      <x:c r="C32" s="1" t="str">
        <x:v>Entry</x:v>
      </x:c>
      <x:c r="D32" s="1" t="str">
        <x:v>Fast</x:v>
      </x:c>
      <x:c r="E32" s="1" t="str">
        <x:v>GRANTED</x:v>
      </x:c>
      <x:c r="F32" s="11" t="n">
        <x:v>12.2254</x:v>
      </x:c>
      <x:c r="G32" s="11" t="str">
        <x:v>N/A (Bypassed)</x:v>
      </x:c>
      <x:c r="H32" s="11" t="str">
        <x:v>N/A (Bypassed)</x:v>
      </x:c>
      <x:c r="I32" s="11" t="str">
        <x:v>N/A (Bypassed)</x:v>
      </x:c>
      <x:c r="J32" s="11" t="str">
        <x:v>N/A (Bypassed)</x:v>
      </x:c>
      <x:c r="K32" s="11" t="str">
        <x:v>N/A</x:v>
      </x:c>
      <x:c r="L32" s="11" t="n">
        <x:v>12.2254</x:v>
      </x:c>
      <x:c r="M32" s="11" t="n">
        <x:v>2.5838</x:v>
      </x:c>
      <x:c r="N32" s="1" t="str">
        <x:v>6898be28591c4e1abe73f83f56b307e4</x:v>
      </x:c>
      <x:c r="O32" s="1" t="str">
        <x:v>Admin Office - 1</x:v>
      </x:c>
      <x:c r="P32" s="1" t="n">
        <x:v>1</x:v>
      </x:c>
      <x:c r="Q32" s="1" t="str">
        <x:v>fast_mode_logs</x:v>
      </x:c>
      <x:c r="R32" s="1" t="n">
        <x:v>27</x:v>
      </x:c>
      <x:c r="S32" s="1" t="str">
        <x:v>Successful entry</x:v>
      </x:c>
      <x:c r="T32" s="1" t="n">
        <x:v>2</x:v>
      </x:c>
      <x:c r="U32" s="5" t="str"/>
      <x:c r="V32" s="1" t="n">
        <x:v>1</x:v>
      </x:c>
      <x:c r="W32" s="1" t="n">
        <x:v>0</x:v>
      </x:c>
      <x:c r="X32" s="1" t="str">
        <x:v>GRANTED</x:v>
      </x:c>
      <x:c r="Y32" s="1" t="n">
        <x:f>IF(V32=1,IF(E32="GRANTED",IF(X32="GRANTED",1,0),IF(X32="DENIED",1,0)),0)</x:f>
        <x:v>1</x:v>
      </x:c>
    </x:row>
    <x:row r="33" ht="23" customHeight="1">
      <x:c r="A33" s="9" t="n">
        <x:v>46246.48297525463</x:v>
      </x:c>
      <x:c r="B33" s="1" t="str">
        <x:v>Maria Clara</x:v>
      </x:c>
      <x:c r="C33" s="1" t="str">
        <x:v>Entry</x:v>
      </x:c>
      <x:c r="D33" s="1" t="str">
        <x:v>Fast</x:v>
      </x:c>
      <x:c r="E33" s="1" t="str">
        <x:v>GRANTED</x:v>
      </x:c>
      <x:c r="F33" s="11" t="n">
        <x:v>9.8804</x:v>
      </x:c>
      <x:c r="G33" s="11" t="str">
        <x:v>N/A (Bypassed)</x:v>
      </x:c>
      <x:c r="H33" s="11" t="str">
        <x:v>N/A (Bypassed)</x:v>
      </x:c>
      <x:c r="I33" s="11" t="str">
        <x:v>N/A (Bypassed)</x:v>
      </x:c>
      <x:c r="J33" s="11" t="str">
        <x:v>N/A (Bypassed)</x:v>
      </x:c>
      <x:c r="K33" s="11" t="str">
        <x:v>N/A</x:v>
      </x:c>
      <x:c r="L33" s="11" t="n">
        <x:v>9.8804</x:v>
      </x:c>
      <x:c r="M33" s="11" t="n">
        <x:v>2.4898</x:v>
      </x:c>
      <x:c r="N33" s="1" t="str">
        <x:v>6898be28591c4e1abe73f83f56b307e4</x:v>
      </x:c>
      <x:c r="O33" s="1" t="str">
        <x:v>Admin Office - 1</x:v>
      </x:c>
      <x:c r="P33" s="1" t="n">
        <x:v>1</x:v>
      </x:c>
      <x:c r="Q33" s="1" t="str">
        <x:v>fast_mode_logs</x:v>
      </x:c>
      <x:c r="R33" s="1" t="n">
        <x:v>28</x:v>
      </x:c>
      <x:c r="S33" s="1" t="str">
        <x:v>Successful entry</x:v>
      </x:c>
      <x:c r="T33" s="1" t="n">
        <x:v>2</x:v>
      </x:c>
      <x:c r="U33" s="5" t="str"/>
      <x:c r="V33" s="1" t="n">
        <x:v>1</x:v>
      </x:c>
      <x:c r="W33" s="1" t="n">
        <x:v>0</x:v>
      </x:c>
      <x:c r="X33" s="1" t="str">
        <x:v>GRANTED</x:v>
      </x:c>
      <x:c r="Y33" s="1" t="n">
        <x:f>IF(V33=1,IF(E33="GRANTED",IF(X33="GRANTED",1,0),IF(X33="DENIED",1,0)),0)</x:f>
        <x:v>1</x:v>
      </x:c>
    </x:row>
    <x:row r="34" ht="23" customHeight="1">
      <x:c r="A34" s="9" t="n">
        <x:v>46246.482945324075</x:v>
      </x:c>
      <x:c r="B34" s="1" t="str">
        <x:v>Juana Dela Cruz</x:v>
      </x:c>
      <x:c r="C34" s="1" t="str">
        <x:v>Entry</x:v>
      </x:c>
      <x:c r="D34" s="1" t="str">
        <x:v>Fast</x:v>
      </x:c>
      <x:c r="E34" s="1" t="str">
        <x:v>GRANTED</x:v>
      </x:c>
      <x:c r="F34" s="11" t="n">
        <x:v>11.6105</x:v>
      </x:c>
      <x:c r="G34" s="11" t="str">
        <x:v>N/A (Bypassed)</x:v>
      </x:c>
      <x:c r="H34" s="11" t="str">
        <x:v>N/A (Bypassed)</x:v>
      </x:c>
      <x:c r="I34" s="11" t="str">
        <x:v>N/A (Bypassed)</x:v>
      </x:c>
      <x:c r="J34" s="11" t="str">
        <x:v>N/A (Bypassed)</x:v>
      </x:c>
      <x:c r="K34" s="11" t="str">
        <x:v>N/A</x:v>
      </x:c>
      <x:c r="L34" s="11" t="n">
        <x:v>11.6105</x:v>
      </x:c>
      <x:c r="M34" s="11" t="n">
        <x:v>2.5734</x:v>
      </x:c>
      <x:c r="N34" s="1" t="str">
        <x:v>6898be28591c4e1abe73f83f56b307e4</x:v>
      </x:c>
      <x:c r="O34" s="1" t="str">
        <x:v>Admin Office - 1</x:v>
      </x:c>
      <x:c r="P34" s="1" t="n">
        <x:v>1</x:v>
      </x:c>
      <x:c r="Q34" s="1" t="str">
        <x:v>fast_mode_logs</x:v>
      </x:c>
      <x:c r="R34" s="1" t="n">
        <x:v>29</x:v>
      </x:c>
      <x:c r="S34" s="1" t="str">
        <x:v>Successful entry</x:v>
      </x:c>
      <x:c r="T34" s="1" t="n">
        <x:v>2</x:v>
      </x:c>
      <x:c r="U34" s="5" t="str"/>
      <x:c r="V34" s="1" t="n">
        <x:v>1</x:v>
      </x:c>
      <x:c r="W34" s="1" t="n">
        <x:v>0</x:v>
      </x:c>
      <x:c r="X34" s="1" t="str">
        <x:v>GRANTED</x:v>
      </x:c>
      <x:c r="Y34" s="1" t="n">
        <x:f>IF(V34=1,IF(E34="GRANTED",IF(X34="GRANTED",1,0),IF(X34="DENIED",1,0)),0)</x:f>
        <x:v>1</x:v>
      </x:c>
    </x:row>
    <x:row r="35" ht="23" customHeight="1">
      <x:c r="A35" s="9" t="n">
        <x:v>46246.48290890046</x:v>
      </x:c>
      <x:c r="B35" s="1" t="str">
        <x:v>Maria Dela Cruz</x:v>
      </x:c>
      <x:c r="C35" s="1" t="str">
        <x:v>Entry</x:v>
      </x:c>
      <x:c r="D35" s="1" t="str">
        <x:v>Fast</x:v>
      </x:c>
      <x:c r="E35" s="1" t="str">
        <x:v>GRANTED</x:v>
      </x:c>
      <x:c r="F35" s="11" t="n">
        <x:v>11.6921</x:v>
      </x:c>
      <x:c r="G35" s="11" t="str">
        <x:v>N/A (Bypassed)</x:v>
      </x:c>
      <x:c r="H35" s="11" t="str">
        <x:v>N/A (Bypassed)</x:v>
      </x:c>
      <x:c r="I35" s="11" t="str">
        <x:v>N/A (Bypassed)</x:v>
      </x:c>
      <x:c r="J35" s="11" t="str">
        <x:v>N/A (Bypassed)</x:v>
      </x:c>
      <x:c r="K35" s="11" t="str">
        <x:v>N/A</x:v>
      </x:c>
      <x:c r="L35" s="11" t="n">
        <x:v>11.6921</x:v>
      </x:c>
      <x:c r="M35" s="11" t="n">
        <x:v>2.5541</x:v>
      </x:c>
      <x:c r="N35" s="1" t="str">
        <x:v>6898be28591c4e1abe73f83f56b307e4</x:v>
      </x:c>
      <x:c r="O35" s="1" t="str">
        <x:v>Admin Office - 1</x:v>
      </x:c>
      <x:c r="P35" s="1" t="n">
        <x:v>1</x:v>
      </x:c>
      <x:c r="Q35" s="1" t="str">
        <x:v>fast_mode_logs</x:v>
      </x:c>
      <x:c r="R35" s="1" t="n">
        <x:v>30</x:v>
      </x:c>
      <x:c r="S35" s="1" t="str">
        <x:v>Successful entry</x:v>
      </x:c>
      <x:c r="T35" s="1" t="n">
        <x:v>2</x:v>
      </x:c>
      <x:c r="U35" s="5" t="str"/>
      <x:c r="V35" s="1" t="n">
        <x:v>1</x:v>
      </x:c>
      <x:c r="W35" s="1" t="n">
        <x:v>0</x:v>
      </x:c>
      <x:c r="X35" s="1" t="str">
        <x:v>GRANTED</x:v>
      </x:c>
      <x:c r="Y35" s="1" t="n">
        <x:f>IF(V35=1,IF(E35="GRANTED",IF(X35="GRANTED",1,0),IF(X35="DENIED",1,0)),0)</x:f>
        <x:v>1</x:v>
      </x:c>
    </x:row>
    <x:row r="36" ht="23" customHeight="1">
      <x:c r="A36" s="9" t="n">
        <x:v>46246.48287958333</x:v>
      </x:c>
      <x:c r="B36" s="1" t="str">
        <x:v>Basilio Magbanua</x:v>
      </x:c>
      <x:c r="C36" s="1" t="str">
        <x:v>Entry</x:v>
      </x:c>
      <x:c r="D36" s="1" t="str">
        <x:v>Fast</x:v>
      </x:c>
      <x:c r="E36" s="1" t="str">
        <x:v>GRANTED</x:v>
      </x:c>
      <x:c r="F36" s="11" t="n">
        <x:v>10.7215</x:v>
      </x:c>
      <x:c r="G36" s="11" t="str">
        <x:v>N/A (Bypassed)</x:v>
      </x:c>
      <x:c r="H36" s="11" t="str">
        <x:v>N/A (Bypassed)</x:v>
      </x:c>
      <x:c r="I36" s="11" t="str">
        <x:v>N/A (Bypassed)</x:v>
      </x:c>
      <x:c r="J36" s="11" t="str">
        <x:v>N/A (Bypassed)</x:v>
      </x:c>
      <x:c r="K36" s="11" t="str">
        <x:v>N/A</x:v>
      </x:c>
      <x:c r="L36" s="11" t="n">
        <x:v>10.7215</x:v>
      </x:c>
      <x:c r="M36" s="11" t="n">
        <x:v>2.5721</x:v>
      </x:c>
      <x:c r="N36" s="1" t="str">
        <x:v>6898be28591c4e1abe73f83f56b307e4</x:v>
      </x:c>
      <x:c r="O36" s="1" t="str">
        <x:v>Admin Office - 1</x:v>
      </x:c>
      <x:c r="P36" s="1" t="n">
        <x:v>1</x:v>
      </x:c>
      <x:c r="Q36" s="1" t="str">
        <x:v>fast_mode_logs</x:v>
      </x:c>
      <x:c r="R36" s="1" t="n">
        <x:v>31</x:v>
      </x:c>
      <x:c r="S36" s="1" t="str">
        <x:v>Successful entry</x:v>
      </x:c>
      <x:c r="T36" s="1" t="n">
        <x:v>2</x:v>
      </x:c>
      <x:c r="U36" s="5" t="str"/>
      <x:c r="V36" s="1" t="n">
        <x:v>1</x:v>
      </x:c>
      <x:c r="W36" s="1" t="n">
        <x:v>0</x:v>
      </x:c>
      <x:c r="X36" s="1" t="str">
        <x:v>GRANTED</x:v>
      </x:c>
      <x:c r="Y36" s="1" t="n">
        <x:f>IF(V36=1,IF(E36="GRANTED",IF(X36="GRANTED",1,0),IF(X36="DENIED",1,0)),0)</x:f>
        <x:v>1</x:v>
      </x:c>
    </x:row>
    <x:row r="37" ht="23" customHeight="1">
      <x:c r="A37" s="9" t="n">
        <x:v>46246.48283842593</x:v>
      </x:c>
      <x:c r="B37" s="1" t="str">
        <x:v>Bayani Dela Rosa</x:v>
      </x:c>
      <x:c r="C37" s="1" t="str">
        <x:v>Entry</x:v>
      </x:c>
      <x:c r="D37" s="1" t="str">
        <x:v>Fast</x:v>
      </x:c>
      <x:c r="E37" s="1" t="str">
        <x:v>GRANTED</x:v>
      </x:c>
      <x:c r="F37" s="11" t="n">
        <x:v>12.1325</x:v>
      </x:c>
      <x:c r="G37" s="11" t="str">
        <x:v>N/A (Bypassed)</x:v>
      </x:c>
      <x:c r="H37" s="11" t="str">
        <x:v>N/A (Bypassed)</x:v>
      </x:c>
      <x:c r="I37" s="11" t="str">
        <x:v>N/A (Bypassed)</x:v>
      </x:c>
      <x:c r="J37" s="11" t="str">
        <x:v>N/A (Bypassed)</x:v>
      </x:c>
      <x:c r="K37" s="11" t="str">
        <x:v>N/A</x:v>
      </x:c>
      <x:c r="L37" s="11" t="n">
        <x:v>12.1325</x:v>
      </x:c>
      <x:c r="M37" s="11" t="n">
        <x:v>2.7823</x:v>
      </x:c>
      <x:c r="N37" s="1" t="str">
        <x:v>6898be28591c4e1abe73f83f56b307e4</x:v>
      </x:c>
      <x:c r="O37" s="1" t="str">
        <x:v>Admin Office - 1</x:v>
      </x:c>
      <x:c r="P37" s="1" t="n">
        <x:v>1</x:v>
      </x:c>
      <x:c r="Q37" s="1" t="str">
        <x:v>fast_mode_logs</x:v>
      </x:c>
      <x:c r="R37" s="1" t="n">
        <x:v>32</x:v>
      </x:c>
      <x:c r="S37" s="1" t="str">
        <x:v>Successful entry</x:v>
      </x:c>
      <x:c r="T37" s="1" t="n">
        <x:v>2</x:v>
      </x:c>
      <x:c r="U37" s="5" t="str"/>
      <x:c r="V37" s="1" t="n">
        <x:v>1</x:v>
      </x:c>
      <x:c r="W37" s="1" t="n">
        <x:v>0</x:v>
      </x:c>
      <x:c r="X37" s="1" t="str">
        <x:v>GRANTED</x:v>
      </x:c>
      <x:c r="Y37" s="1" t="n">
        <x:f>IF(V37=1,IF(E37="GRANTED",IF(X37="GRANTED",1,0),IF(X37="DENIED",1,0)),0)</x:f>
        <x:v>1</x:v>
      </x:c>
    </x:row>
    <x:row r="38" ht="23" customHeight="1">
      <x:c r="A38" s="9" t="n">
        <x:v>46246.48281179398</x:v>
      </x:c>
      <x:c r="B38" s="1" t="str">
        <x:v>Jose Mari Bautista</x:v>
      </x:c>
      <x:c r="C38" s="1" t="str">
        <x:v>Entry</x:v>
      </x:c>
      <x:c r="D38" s="1" t="str">
        <x:v>Fast</x:v>
      </x:c>
      <x:c r="E38" s="1" t="str">
        <x:v>GRANTED</x:v>
      </x:c>
      <x:c r="F38" s="11" t="n">
        <x:v>11.8039</x:v>
      </x:c>
      <x:c r="G38" s="11" t="str">
        <x:v>N/A (Bypassed)</x:v>
      </x:c>
      <x:c r="H38" s="11" t="str">
        <x:v>N/A (Bypassed)</x:v>
      </x:c>
      <x:c r="I38" s="11" t="str">
        <x:v>N/A (Bypassed)</x:v>
      </x:c>
      <x:c r="J38" s="11" t="str">
        <x:v>N/A (Bypassed)</x:v>
      </x:c>
      <x:c r="K38" s="11" t="str">
        <x:v>N/A</x:v>
      </x:c>
      <x:c r="L38" s="11" t="n">
        <x:v>11.8039</x:v>
      </x:c>
      <x:c r="M38" s="11" t="n">
        <x:v>2.6736</x:v>
      </x:c>
      <x:c r="N38" s="1" t="str">
        <x:v>6898be28591c4e1abe73f83f56b307e4</x:v>
      </x:c>
      <x:c r="O38" s="1" t="str">
        <x:v>Admin Office - 1</x:v>
      </x:c>
      <x:c r="P38" s="1" t="n">
        <x:v>1</x:v>
      </x:c>
      <x:c r="Q38" s="1" t="str">
        <x:v>fast_mode_logs</x:v>
      </x:c>
      <x:c r="R38" s="1" t="n">
        <x:v>33</x:v>
      </x:c>
      <x:c r="S38" s="1" t="str">
        <x:v>Successful entry</x:v>
      </x:c>
      <x:c r="T38" s="1" t="n">
        <x:v>2</x:v>
      </x:c>
      <x:c r="U38" s="5" t="str"/>
      <x:c r="V38" s="1" t="n">
        <x:v>1</x:v>
      </x:c>
      <x:c r="W38" s="1" t="n">
        <x:v>0</x:v>
      </x:c>
      <x:c r="X38" s="1" t="str">
        <x:v>GRANTED</x:v>
      </x:c>
      <x:c r="Y38" s="1" t="n">
        <x:f>IF(V38=1,IF(E38="GRANTED",IF(X38="GRANTED",1,0),IF(X38="DENIED",1,0)),0)</x:f>
        <x:v>1</x:v>
      </x:c>
    </x:row>
    <x:row r="39" ht="23" customHeight="1">
      <x:c r="A39" s="9" t="n">
        <x:v>46246.48275434028</x:v>
      </x:c>
      <x:c r="B39" s="1" t="str">
        <x:v>Angelito Fernandez</x:v>
      </x:c>
      <x:c r="C39" s="1" t="str">
        <x:v>Entry</x:v>
      </x:c>
      <x:c r="D39" s="1" t="str">
        <x:v>Fast</x:v>
      </x:c>
      <x:c r="E39" s="1" t="str">
        <x:v>GRANTED</x:v>
      </x:c>
      <x:c r="F39" s="11" t="n">
        <x:v>10.8993</x:v>
      </x:c>
      <x:c r="G39" s="11" t="str">
        <x:v>N/A (Bypassed)</x:v>
      </x:c>
      <x:c r="H39" s="11" t="str">
        <x:v>N/A (Bypassed)</x:v>
      </x:c>
      <x:c r="I39" s="11" t="str">
        <x:v>N/A (Bypassed)</x:v>
      </x:c>
      <x:c r="J39" s="11" t="str">
        <x:v>N/A (Bypassed)</x:v>
      </x:c>
      <x:c r="K39" s="11" t="str">
        <x:v>N/A</x:v>
      </x:c>
      <x:c r="L39" s="11" t="n">
        <x:v>10.8993</x:v>
      </x:c>
      <x:c r="M39" s="11" t="n">
        <x:v>2.4122</x:v>
      </x:c>
      <x:c r="N39" s="1" t="str">
        <x:v>6898be28591c4e1abe73f83f56b307e4</x:v>
      </x:c>
      <x:c r="O39" s="1" t="str">
        <x:v>Admin Office - 1</x:v>
      </x:c>
      <x:c r="P39" s="1" t="n">
        <x:v>1</x:v>
      </x:c>
      <x:c r="Q39" s="1" t="str">
        <x:v>fast_mode_logs</x:v>
      </x:c>
      <x:c r="R39" s="1" t="n">
        <x:v>34</x:v>
      </x:c>
      <x:c r="S39" s="1" t="str">
        <x:v>Successful entry</x:v>
      </x:c>
      <x:c r="T39" s="1" t="n">
        <x:v>2</x:v>
      </x:c>
      <x:c r="U39" s="5" t="str"/>
      <x:c r="V39" s="1" t="n">
        <x:v>1</x:v>
      </x:c>
      <x:c r="W39" s="1" t="n">
        <x:v>0</x:v>
      </x:c>
      <x:c r="X39" s="1" t="str">
        <x:v>GRANTED</x:v>
      </x:c>
      <x:c r="Y39" s="1" t="n">
        <x:f>IF(V39=1,IF(E39="GRANTED",IF(X39="GRANTED",1,0),IF(X39="DENIED",1,0)),0)</x:f>
        <x:v>1</x:v>
      </x:c>
    </x:row>
    <x:row r="40" ht="23" customHeight="1">
      <x:c r="A40" s="9" t="n">
        <x:v>46246.48271689814</x:v>
      </x:c>
      <x:c r="B40" s="1" t="str">
        <x:v>Roberto Ramos</x:v>
      </x:c>
      <x:c r="C40" s="1" t="str">
        <x:v>Entry</x:v>
      </x:c>
      <x:c r="D40" s="1" t="str">
        <x:v>Fast</x:v>
      </x:c>
      <x:c r="E40" s="1" t="str">
        <x:v>GRANTED</x:v>
      </x:c>
      <x:c r="F40" s="11" t="n">
        <x:v>12.3487</x:v>
      </x:c>
      <x:c r="G40" s="11" t="str">
        <x:v>N/A (Bypassed)</x:v>
      </x:c>
      <x:c r="H40" s="11" t="str">
        <x:v>N/A (Bypassed)</x:v>
      </x:c>
      <x:c r="I40" s="11" t="str">
        <x:v>N/A (Bypassed)</x:v>
      </x:c>
      <x:c r="J40" s="11" t="str">
        <x:v>N/A (Bypassed)</x:v>
      </x:c>
      <x:c r="K40" s="11" t="str">
        <x:v>N/A</x:v>
      </x:c>
      <x:c r="L40" s="11" t="n">
        <x:v>12.3487</x:v>
      </x:c>
      <x:c r="M40" s="11" t="n">
        <x:v>5.0699</x:v>
      </x:c>
      <x:c r="N40" s="1" t="str">
        <x:v>6898be28591c4e1abe73f83f56b307e4</x:v>
      </x:c>
      <x:c r="O40" s="1" t="str">
        <x:v>Admin Office - 1</x:v>
      </x:c>
      <x:c r="P40" s="1" t="n">
        <x:v>1</x:v>
      </x:c>
      <x:c r="Q40" s="1" t="str">
        <x:v>fast_mode_logs</x:v>
      </x:c>
      <x:c r="R40" s="1" t="n">
        <x:v>35</x:v>
      </x:c>
      <x:c r="S40" s="1" t="str">
        <x:v>Successful entry</x:v>
      </x:c>
      <x:c r="T40" s="1" t="n">
        <x:v>2</x:v>
      </x:c>
      <x:c r="U40" s="5" t="str"/>
      <x:c r="V40" s="1" t="n">
        <x:v>1</x:v>
      </x:c>
      <x:c r="W40" s="1" t="n">
        <x:v>0</x:v>
      </x:c>
      <x:c r="X40" s="1" t="str">
        <x:v>GRANTED</x:v>
      </x:c>
      <x:c r="Y40" s="1" t="n">
        <x:f>IF(V40=1,IF(E40="GRANTED",IF(X40="GRANTED",1,0),IF(X40="DENIED",1,0)),0)</x:f>
        <x:v>1</x:v>
      </x:c>
    </x:row>
    <x:row r="41" ht="23" customHeight="1">
      <x:c r="A41" s="9" t="n">
        <x:v>46246.482688958335</x:v>
      </x:c>
      <x:c r="B41" s="1" t="str">
        <x:v>Juanito Delos Santos</x:v>
      </x:c>
      <x:c r="C41" s="1" t="str">
        <x:v>Entry</x:v>
      </x:c>
      <x:c r="D41" s="1" t="str">
        <x:v>Fast</x:v>
      </x:c>
      <x:c r="E41" s="1" t="str">
        <x:v>GRANTED</x:v>
      </x:c>
      <x:c r="F41" s="11" t="n">
        <x:v>11.4153</x:v>
      </x:c>
      <x:c r="G41" s="11" t="str">
        <x:v>N/A (Bypassed)</x:v>
      </x:c>
      <x:c r="H41" s="11" t="str">
        <x:v>N/A (Bypassed)</x:v>
      </x:c>
      <x:c r="I41" s="11" t="str">
        <x:v>N/A (Bypassed)</x:v>
      </x:c>
      <x:c r="J41" s="11" t="str">
        <x:v>N/A (Bypassed)</x:v>
      </x:c>
      <x:c r="K41" s="11" t="str">
        <x:v>N/A</x:v>
      </x:c>
      <x:c r="L41" s="11" t="n">
        <x:v>11.4153</x:v>
      </x:c>
      <x:c r="M41" s="11" t="n">
        <x:v>2.5513</x:v>
      </x:c>
      <x:c r="N41" s="1" t="str">
        <x:v>6898be28591c4e1abe73f83f56b307e4</x:v>
      </x:c>
      <x:c r="O41" s="1" t="str">
        <x:v>Admin Office - 1</x:v>
      </x:c>
      <x:c r="P41" s="1" t="n">
        <x:v>1</x:v>
      </x:c>
      <x:c r="Q41" s="1" t="str">
        <x:v>fast_mode_logs</x:v>
      </x:c>
      <x:c r="R41" s="1" t="n">
        <x:v>36</x:v>
      </x:c>
      <x:c r="S41" s="1" t="str">
        <x:v>Successful entry</x:v>
      </x:c>
      <x:c r="T41" s="1" t="n">
        <x:v>2</x:v>
      </x:c>
      <x:c r="U41" s="5" t="str"/>
      <x:c r="V41" s="1" t="n">
        <x:v>1</x:v>
      </x:c>
      <x:c r="W41" s="1" t="n">
        <x:v>0</x:v>
      </x:c>
      <x:c r="X41" s="1" t="str">
        <x:v>GRANTED</x:v>
      </x:c>
      <x:c r="Y41" s="1" t="n">
        <x:f>IF(V41=1,IF(E41="GRANTED",IF(X41="GRANTED",1,0),IF(X41="DENIED",1,0)),0)</x:f>
        <x:v>1</x:v>
      </x:c>
    </x:row>
    <x:row r="42" ht="23" customHeight="1">
      <x:c r="A42" s="9" t="n">
        <x:v>46246.48265902778</x:v>
      </x:c>
      <x:c r="B42" s="1" t="str">
        <x:v>[TEMP] Manuel Mendoza</x:v>
      </x:c>
      <x:c r="C42" s="1" t="str">
        <x:v>Entry</x:v>
      </x:c>
      <x:c r="D42" s="1" t="str">
        <x:v>Fast</x:v>
      </x:c>
      <x:c r="E42" s="1" t="str">
        <x:v>GRANTED</x:v>
      </x:c>
      <x:c r="F42" s="11" t="n">
        <x:v>11.4156</x:v>
      </x:c>
      <x:c r="G42" s="11" t="str">
        <x:v>N/A (Bypassed)</x:v>
      </x:c>
      <x:c r="H42" s="11" t="str">
        <x:v>N/A (Bypassed)</x:v>
      </x:c>
      <x:c r="I42" s="11" t="str">
        <x:v>N/A (Bypassed)</x:v>
      </x:c>
      <x:c r="J42" s="11" t="str">
        <x:v>N/A (Bypassed)</x:v>
      </x:c>
      <x:c r="K42" s="11" t="str">
        <x:v>N/A</x:v>
      </x:c>
      <x:c r="L42" s="11" t="n">
        <x:v>11.4156</x:v>
      </x:c>
      <x:c r="M42" s="11" t="n">
        <x:v>2.7188</x:v>
      </x:c>
      <x:c r="N42" s="1" t="str">
        <x:v>6898be28591c4e1abe73f83f56b307e4</x:v>
      </x:c>
      <x:c r="O42" s="1" t="str">
        <x:v>Admin Office - 1</x:v>
      </x:c>
      <x:c r="P42" s="1" t="n">
        <x:v>1</x:v>
      </x:c>
      <x:c r="Q42" s="1" t="str">
        <x:v>fast_mode_logs</x:v>
      </x:c>
      <x:c r="R42" s="1" t="n">
        <x:v>37</x:v>
      </x:c>
      <x:c r="S42" s="1" t="str">
        <x:v>Successful entry</x:v>
      </x:c>
      <x:c r="T42" s="1" t="n">
        <x:v>2</x:v>
      </x:c>
      <x:c r="U42" s="5" t="str"/>
      <x:c r="V42" s="1" t="n">
        <x:v>1</x:v>
      </x:c>
      <x:c r="W42" s="1" t="n">
        <x:v>0</x:v>
      </x:c>
      <x:c r="X42" s="1" t="str">
        <x:v>GRANTED</x:v>
      </x:c>
      <x:c r="Y42" s="1" t="n">
        <x:f>IF(V42=1,IF(E42="GRANTED",IF(X42="GRANTED",1,0),IF(X42="DENIED",1,0)),0)</x:f>
        <x:v>1</x:v>
      </x:c>
    </x:row>
    <x:row r="43" ht="23" customHeight="1">
      <x:c r="A43" s="9" t="n">
        <x:v>46246.48262844907</x:v>
      </x:c>
      <x:c r="B43" s="1" t="str">
        <x:v>Francisco Garcia</x:v>
      </x:c>
      <x:c r="C43" s="1" t="str">
        <x:v>Entry</x:v>
      </x:c>
      <x:c r="D43" s="1" t="str">
        <x:v>Fast</x:v>
      </x:c>
      <x:c r="E43" s="1" t="str">
        <x:v>GRANTED</x:v>
      </x:c>
      <x:c r="F43" s="11" t="n">
        <x:v>11.4593</x:v>
      </x:c>
      <x:c r="G43" s="11" t="str">
        <x:v>N/A (Bypassed)</x:v>
      </x:c>
      <x:c r="H43" s="11" t="str">
        <x:v>N/A (Bypassed)</x:v>
      </x:c>
      <x:c r="I43" s="11" t="str">
        <x:v>N/A (Bypassed)</x:v>
      </x:c>
      <x:c r="J43" s="11" t="str">
        <x:v>N/A (Bypassed)</x:v>
      </x:c>
      <x:c r="K43" s="11" t="str">
        <x:v>N/A</x:v>
      </x:c>
      <x:c r="L43" s="11" t="n">
        <x:v>11.4593</x:v>
      </x:c>
      <x:c r="M43" s="11" t="n">
        <x:v>2.7103</x:v>
      </x:c>
      <x:c r="N43" s="1" t="str">
        <x:v>6898be28591c4e1abe73f83f56b307e4</x:v>
      </x:c>
      <x:c r="O43" s="1" t="str">
        <x:v>Admin Office - 1</x:v>
      </x:c>
      <x:c r="P43" s="1" t="n">
        <x:v>1</x:v>
      </x:c>
      <x:c r="Q43" s="1" t="str">
        <x:v>fast_mode_logs</x:v>
      </x:c>
      <x:c r="R43" s="1" t="n">
        <x:v>38</x:v>
      </x:c>
      <x:c r="S43" s="1" t="str">
        <x:v>Successful entry</x:v>
      </x:c>
      <x:c r="T43" s="1" t="n">
        <x:v>2</x:v>
      </x:c>
      <x:c r="U43" s="5" t="str"/>
      <x:c r="V43" s="1" t="n">
        <x:v>1</x:v>
      </x:c>
      <x:c r="W43" s="1" t="n">
        <x:v>0</x:v>
      </x:c>
      <x:c r="X43" s="1" t="str">
        <x:v>GRANTED</x:v>
      </x:c>
      <x:c r="Y43" s="1" t="n">
        <x:f>IF(V43=1,IF(E43="GRANTED",IF(X43="GRANTED",1,0),IF(X43="DENIED",1,0)),0)</x:f>
        <x:v>1</x:v>
      </x:c>
    </x:row>
    <x:row r="44" ht="23" customHeight="1">
      <x:c r="A44" s="9" t="n">
        <x:v>46246.48258469907</x:v>
      </x:c>
      <x:c r="B44" s="1" t="str">
        <x:v>[TEMP] Pedro Reyes</x:v>
      </x:c>
      <x:c r="C44" s="1" t="str">
        <x:v>Entry</x:v>
      </x:c>
      <x:c r="D44" s="1" t="str">
        <x:v>Fast</x:v>
      </x:c>
      <x:c r="E44" s="1" t="str">
        <x:v>GRANTED</x:v>
      </x:c>
      <x:c r="F44" s="11" t="n">
        <x:v>9.7297</x:v>
      </x:c>
      <x:c r="G44" s="11" t="str">
        <x:v>N/A (Bypassed)</x:v>
      </x:c>
      <x:c r="H44" s="11" t="str">
        <x:v>N/A (Bypassed)</x:v>
      </x:c>
      <x:c r="I44" s="11" t="str">
        <x:v>N/A (Bypassed)</x:v>
      </x:c>
      <x:c r="J44" s="11" t="str">
        <x:v>N/A (Bypassed)</x:v>
      </x:c>
      <x:c r="K44" s="11" t="str">
        <x:v>N/A</x:v>
      </x:c>
      <x:c r="L44" s="11" t="n">
        <x:v>9.7297</x:v>
      </x:c>
      <x:c r="M44" s="11" t="n">
        <x:v>0.7274</x:v>
      </x:c>
      <x:c r="N44" s="1" t="str">
        <x:v>6898be28591c4e1abe73f83f56b307e4</x:v>
      </x:c>
      <x:c r="O44" s="1" t="str">
        <x:v>Admin Office - 1</x:v>
      </x:c>
      <x:c r="P44" s="1" t="n">
        <x:v>1</x:v>
      </x:c>
      <x:c r="Q44" s="1" t="str">
        <x:v>fast_mode_logs</x:v>
      </x:c>
      <x:c r="R44" s="1" t="n">
        <x:v>39</x:v>
      </x:c>
      <x:c r="S44" s="1" t="str">
        <x:v>Successful entry</x:v>
      </x:c>
      <x:c r="T44" s="1" t="n">
        <x:v>2</x:v>
      </x:c>
      <x:c r="U44" s="5" t="str"/>
      <x:c r="V44" s="1" t="n">
        <x:v>1</x:v>
      </x:c>
      <x:c r="W44" s="1" t="n">
        <x:v>0</x:v>
      </x:c>
      <x:c r="X44" s="1" t="str">
        <x:v>GRANTED</x:v>
      </x:c>
      <x:c r="Y44" s="1" t="n">
        <x:f>IF(V44=1,IF(E44="GRANTED",IF(X44="GRANTED",1,0),IF(X44="DENIED",1,0)),0)</x:f>
        <x:v>1</x:v>
      </x:c>
    </x:row>
    <x:row r="45" ht="23" customHeight="1">
      <x:c r="A45" s="9" t="n">
        <x:v>46246.48251436342</x:v>
      </x:c>
      <x:c r="B45" s="1" t="str">
        <x:v>[TEMP] Jose Santos</x:v>
      </x:c>
      <x:c r="C45" s="1" t="str">
        <x:v>Entry</x:v>
      </x:c>
      <x:c r="D45" s="1" t="str">
        <x:v>Fast</x:v>
      </x:c>
      <x:c r="E45" s="1" t="str">
        <x:v>GRANTED</x:v>
      </x:c>
      <x:c r="F45" s="11" t="n">
        <x:v>11.5826</x:v>
      </x:c>
      <x:c r="G45" s="11" t="str">
        <x:v>N/A (Bypassed)</x:v>
      </x:c>
      <x:c r="H45" s="11" t="str">
        <x:v>N/A (Bypassed)</x:v>
      </x:c>
      <x:c r="I45" s="11" t="str">
        <x:v>N/A (Bypassed)</x:v>
      </x:c>
      <x:c r="J45" s="11" t="str">
        <x:v>N/A (Bypassed)</x:v>
      </x:c>
      <x:c r="K45" s="11" t="str">
        <x:v>N/A</x:v>
      </x:c>
      <x:c r="L45" s="11" t="n">
        <x:v>11.5826</x:v>
      </x:c>
      <x:c r="M45" s="11" t="n">
        <x:v>4.5545</x:v>
      </x:c>
      <x:c r="N45" s="1" t="str">
        <x:v>6898be28591c4e1abe73f83f56b307e4</x:v>
      </x:c>
      <x:c r="O45" s="1" t="str">
        <x:v>Admin Office - 1</x:v>
      </x:c>
      <x:c r="P45" s="1" t="n">
        <x:v>1</x:v>
      </x:c>
      <x:c r="Q45" s="1" t="str">
        <x:v>fast_mode_logs</x:v>
      </x:c>
      <x:c r="R45" s="1" t="n">
        <x:v>40</x:v>
      </x:c>
      <x:c r="S45" s="1" t="str">
        <x:v>Successful entry</x:v>
      </x:c>
      <x:c r="T45" s="1" t="n">
        <x:v>2</x:v>
      </x:c>
      <x:c r="U45" s="5" t="str"/>
      <x:c r="V45" s="1" t="n">
        <x:v>1</x:v>
      </x:c>
      <x:c r="W45" s="1" t="n">
        <x:v>0</x:v>
      </x:c>
      <x:c r="X45" s="1" t="str">
        <x:v>GRANTED</x:v>
      </x:c>
      <x:c r="Y45" s="1" t="n">
        <x:f>IF(V45=1,IF(E45="GRANTED",IF(X45="GRANTED",1,0),IF(X45="DENIED",1,0)),0)</x:f>
        <x:v>1</x:v>
      </x:c>
    </x:row>
    <x:row r="46" ht="23" customHeight="1">
      <x:c r="A46" s="9" t="n">
        <x:v>46246.4824546875</x:v>
      </x:c>
      <x:c r="B46" s="1" t="str">
        <x:v>[TEMP] Juan Dela Cruz</x:v>
      </x:c>
      <x:c r="C46" s="1" t="str">
        <x:v>Entry</x:v>
      </x:c>
      <x:c r="D46" s="1" t="str">
        <x:v>Fast</x:v>
      </x:c>
      <x:c r="E46" s="1" t="str">
        <x:v>GRANTED</x:v>
      </x:c>
      <x:c r="F46" s="11" t="n">
        <x:v>8.2594</x:v>
      </x:c>
      <x:c r="G46" s="11" t="str">
        <x:v>N/A (Bypassed)</x:v>
      </x:c>
      <x:c r="H46" s="11" t="str">
        <x:v>N/A (Bypassed)</x:v>
      </x:c>
      <x:c r="I46" s="11" t="str">
        <x:v>N/A (Bypassed)</x:v>
      </x:c>
      <x:c r="J46" s="11" t="str">
        <x:v>N/A (Bypassed)</x:v>
      </x:c>
      <x:c r="K46" s="11" t="str">
        <x:v>N/A</x:v>
      </x:c>
      <x:c r="L46" s="11" t="n">
        <x:v>8.2594</x:v>
      </x:c>
      <x:c r="M46" s="11" t="n">
        <x:v>0.6374</x:v>
      </x:c>
      <x:c r="N46" s="1" t="str">
        <x:v>6898be28591c4e1abe73f83f56b307e4</x:v>
      </x:c>
      <x:c r="O46" s="1" t="str">
        <x:v>Admin Office - 1</x:v>
      </x:c>
      <x:c r="P46" s="1" t="n">
        <x:v>1</x:v>
      </x:c>
      <x:c r="Q46" s="1" t="str">
        <x:v>fast_mode_logs</x:v>
      </x:c>
      <x:c r="R46" s="1" t="n">
        <x:v>41</x:v>
      </x:c>
      <x:c r="S46" s="1" t="str">
        <x:v>Successful entry</x:v>
      </x:c>
      <x:c r="T46" s="1" t="n">
        <x:v>2</x:v>
      </x:c>
      <x:c r="U46" s="5" t="str"/>
      <x:c r="V46" s="1" t="n">
        <x:v>1</x:v>
      </x:c>
      <x:c r="W46" s="1" t="n">
        <x:v>0</x:v>
      </x:c>
      <x:c r="X46" s="1" t="str">
        <x:v>GRANTED</x:v>
      </x:c>
      <x:c r="Y46" s="1" t="n">
        <x:f>IF(V46=1,IF(E46="GRANTED",IF(X46="GRANTED",1,0),IF(X46="DENIED",1,0)),0)</x:f>
        <x:v>1</x:v>
      </x:c>
    </x:row>
    <x:row r="47" ht="23" customHeight="1">
      <x:c r="A47" s="9" t="n">
        <x:v>46246.48225785879</x:v>
      </x:c>
      <x:c r="B47" s="1" t="str">
        <x:v>Pedro Penduko</x:v>
      </x:c>
      <x:c r="C47" s="1" t="str">
        <x:v>Exit</x:v>
      </x:c>
      <x:c r="D47" s="1" t="str">
        <x:v>Fast</x:v>
      </x:c>
      <x:c r="E47" s="1" t="str">
        <x:v>GRANTED</x:v>
      </x:c>
      <x:c r="F47" s="11" t="n">
        <x:v>9.0327</x:v>
      </x:c>
      <x:c r="G47" s="11" t="str">
        <x:v>N/A (Bypassed)</x:v>
      </x:c>
      <x:c r="H47" s="11" t="str">
        <x:v>N/A (Bypassed)</x:v>
      </x:c>
      <x:c r="I47" s="11" t="str">
        <x:v>N/A (Bypassed)</x:v>
      </x:c>
      <x:c r="J47" s="11" t="str">
        <x:v>N/A (Bypassed)</x:v>
      </x:c>
      <x:c r="K47" s="11" t="str">
        <x:v>N/A</x:v>
      </x:c>
      <x:c r="L47" s="11" t="n">
        <x:v>9.0327</x:v>
      </x:c>
      <x:c r="M47" s="11" t="n">
        <x:v>2.3878</x:v>
      </x:c>
      <x:c r="N47" s="1" t="str">
        <x:v>6898be28591c4e1abe73f83f56b307e4</x:v>
      </x:c>
      <x:c r="O47" s="1" t="str">
        <x:v>Admin Office - 1</x:v>
      </x:c>
      <x:c r="P47" s="1" t="n">
        <x:v>1</x:v>
      </x:c>
      <x:c r="Q47" s="1" t="str">
        <x:v>fast_mode_logs</x:v>
      </x:c>
      <x:c r="R47" s="1" t="n">
        <x:v>42</x:v>
      </x:c>
      <x:c r="S47" s="1" t="str">
        <x:v>Reset exit</x:v>
      </x:c>
      <x:c r="T47" s="1"/>
      <x:c r="U47" s="5" t="str"/>
      <x:c r="V47" s="1" t="n">
        <x:v>0</x:v>
      </x:c>
      <x:c r="W47" s="1" t="n">
        <x:v>0</x:v>
      </x:c>
      <x:c r="X47" s="1" t="str">
        <x:v>Not applicable</x:v>
      </x:c>
      <x:c r="Y47" s="1" t="n">
        <x:f>IF(V47=1,IF(E47="GRANTED",IF(X47="GRANTED",1,0),IF(X47="DENIED",1,0)),0)</x:f>
        <x:v>0</x:v>
      </x:c>
    </x:row>
    <x:row r="48" ht="23" customHeight="1">
      <x:c r="A48" s="9" t="n">
        <x:v>46246.48223356481</x:v>
      </x:c>
      <x:c r="B48" s="1" t="str">
        <x:v>Juan Tamad</x:v>
      </x:c>
      <x:c r="C48" s="1" t="str">
        <x:v>Exit</x:v>
      </x:c>
      <x:c r="D48" s="1" t="str">
        <x:v>Fast</x:v>
      </x:c>
      <x:c r="E48" s="1" t="str">
        <x:v>GRANTED</x:v>
      </x:c>
      <x:c r="F48" s="11" t="n">
        <x:v>11.0825</x:v>
      </x:c>
      <x:c r="G48" s="11" t="str">
        <x:v>N/A (Bypassed)</x:v>
      </x:c>
      <x:c r="H48" s="11" t="str">
        <x:v>N/A (Bypassed)</x:v>
      </x:c>
      <x:c r="I48" s="11" t="str">
        <x:v>N/A (Bypassed)</x:v>
      </x:c>
      <x:c r="J48" s="11" t="str">
        <x:v>N/A (Bypassed)</x:v>
      </x:c>
      <x:c r="K48" s="11" t="str">
        <x:v>N/A</x:v>
      </x:c>
      <x:c r="L48" s="11" t="n">
        <x:v>11.0825</x:v>
      </x:c>
      <x:c r="M48" s="11" t="n">
        <x:v>2.6628</x:v>
      </x:c>
      <x:c r="N48" s="1" t="str">
        <x:v>6898be28591c4e1abe73f83f56b307e4</x:v>
      </x:c>
      <x:c r="O48" s="1" t="str">
        <x:v>Admin Office - 1</x:v>
      </x:c>
      <x:c r="P48" s="1" t="n">
        <x:v>1</x:v>
      </x:c>
      <x:c r="Q48" s="1" t="str">
        <x:v>fast_mode_logs</x:v>
      </x:c>
      <x:c r="R48" s="1" t="n">
        <x:v>43</x:v>
      </x:c>
      <x:c r="S48" s="1" t="str">
        <x:v>Reset exit</x:v>
      </x:c>
      <x:c r="T48" s="1"/>
      <x:c r="U48" s="5" t="str"/>
      <x:c r="V48" s="1" t="n">
        <x:v>0</x:v>
      </x:c>
      <x:c r="W48" s="1" t="n">
        <x:v>0</x:v>
      </x:c>
      <x:c r="X48" s="1" t="str">
        <x:v>Not applicable</x:v>
      </x:c>
      <x:c r="Y48" s="1" t="n">
        <x:f>IF(V48=1,IF(E48="GRANTED",IF(X48="GRANTED",1,0),IF(X48="DENIED",1,0)),0)</x:f>
        <x:v>0</x:v>
      </x:c>
    </x:row>
    <x:row r="49" ht="23" customHeight="1">
      <x:c r="A49" s="9" t="n">
        <x:v>46246.48220829861</x:v>
      </x:c>
      <x:c r="B49" s="1" t="str">
        <x:v>Luningning Santos</x:v>
      </x:c>
      <x:c r="C49" s="1" t="str">
        <x:v>Exit</x:v>
      </x:c>
      <x:c r="D49" s="1" t="str">
        <x:v>Fast</x:v>
      </x:c>
      <x:c r="E49" s="1" t="str">
        <x:v>GRANTED</x:v>
      </x:c>
      <x:c r="F49" s="11" t="n">
        <x:v>11.4574</x:v>
      </x:c>
      <x:c r="G49" s="11" t="str">
        <x:v>N/A (Bypassed)</x:v>
      </x:c>
      <x:c r="H49" s="11" t="str">
        <x:v>N/A (Bypassed)</x:v>
      </x:c>
      <x:c r="I49" s="11" t="str">
        <x:v>N/A (Bypassed)</x:v>
      </x:c>
      <x:c r="J49" s="11" t="str">
        <x:v>N/A (Bypassed)</x:v>
      </x:c>
      <x:c r="K49" s="11" t="str">
        <x:v>N/A</x:v>
      </x:c>
      <x:c r="L49" s="11" t="n">
        <x:v>11.4574</x:v>
      </x:c>
      <x:c r="M49" s="11" t="n">
        <x:v>0.6977</x:v>
      </x:c>
      <x:c r="N49" s="1" t="str">
        <x:v>6898be28591c4e1abe73f83f56b307e4</x:v>
      </x:c>
      <x:c r="O49" s="1" t="str">
        <x:v>Admin Office - 1</x:v>
      </x:c>
      <x:c r="P49" s="1" t="n">
        <x:v>1</x:v>
      </x:c>
      <x:c r="Q49" s="1" t="str">
        <x:v>fast_mode_logs</x:v>
      </x:c>
      <x:c r="R49" s="1" t="n">
        <x:v>44</x:v>
      </x:c>
      <x:c r="S49" s="1" t="str">
        <x:v>Reset exit</x:v>
      </x:c>
      <x:c r="T49" s="1"/>
      <x:c r="U49" s="5" t="str"/>
      <x:c r="V49" s="1" t="n">
        <x:v>0</x:v>
      </x:c>
      <x:c r="W49" s="1" t="n">
        <x:v>0</x:v>
      </x:c>
      <x:c r="X49" s="1" t="str">
        <x:v>Not applicable</x:v>
      </x:c>
      <x:c r="Y49" s="1" t="n">
        <x:f>IF(V49=1,IF(E49="GRANTED",IF(X49="GRANTED",1,0),IF(X49="DENIED",1,0)),0)</x:f>
        <x:v>0</x:v>
      </x:c>
    </x:row>
    <x:row r="50" ht="23" customHeight="1">
      <x:c r="A50" s="9" t="n">
        <x:v>46246.482182824075</x:v>
      </x:c>
      <x:c r="B50" s="1" t="str">
        <x:v>Teresita Gonzales</x:v>
      </x:c>
      <x:c r="C50" s="1" t="str">
        <x:v>Exit</x:v>
      </x:c>
      <x:c r="D50" s="1" t="str">
        <x:v>Fast</x:v>
      </x:c>
      <x:c r="E50" s="1" t="str">
        <x:v>GRANTED</x:v>
      </x:c>
      <x:c r="F50" s="11" t="n">
        <x:v>11.8752</x:v>
      </x:c>
      <x:c r="G50" s="11" t="str">
        <x:v>N/A (Bypassed)</x:v>
      </x:c>
      <x:c r="H50" s="11" t="str">
        <x:v>N/A (Bypassed)</x:v>
      </x:c>
      <x:c r="I50" s="11" t="str">
        <x:v>N/A (Bypassed)</x:v>
      </x:c>
      <x:c r="J50" s="11" t="str">
        <x:v>N/A (Bypassed)</x:v>
      </x:c>
      <x:c r="K50" s="11" t="str">
        <x:v>N/A</x:v>
      </x:c>
      <x:c r="L50" s="11" t="n">
        <x:v>11.8752</x:v>
      </x:c>
      <x:c r="M50" s="11" t="n">
        <x:v>2.8536</x:v>
      </x:c>
      <x:c r="N50" s="1" t="str">
        <x:v>6898be28591c4e1abe73f83f56b307e4</x:v>
      </x:c>
      <x:c r="O50" s="1" t="str">
        <x:v>Admin Office - 1</x:v>
      </x:c>
      <x:c r="P50" s="1" t="n">
        <x:v>1</x:v>
      </x:c>
      <x:c r="Q50" s="1" t="str">
        <x:v>fast_mode_logs</x:v>
      </x:c>
      <x:c r="R50" s="1" t="n">
        <x:v>45</x:v>
      </x:c>
      <x:c r="S50" s="1" t="str">
        <x:v>Reset exit</x:v>
      </x:c>
      <x:c r="T50" s="1"/>
      <x:c r="U50" s="5" t="str"/>
      <x:c r="V50" s="1" t="n">
        <x:v>0</x:v>
      </x:c>
      <x:c r="W50" s="1" t="n">
        <x:v>0</x:v>
      </x:c>
      <x:c r="X50" s="1" t="str">
        <x:v>Not applicable</x:v>
      </x:c>
      <x:c r="Y50" s="1" t="n">
        <x:f>IF(V50=1,IF(E50="GRANTED",IF(X50="GRANTED",1,0),IF(X50="DENIED",1,0)),0)</x:f>
        <x:v>0</x:v>
      </x:c>
    </x:row>
    <x:row r="51" ht="23" customHeight="1">
      <x:c r="A51" s="9" t="n">
        <x:v>46246.48215489583</x:v>
      </x:c>
      <x:c r="B51" s="1" t="str">
        <x:v>Ana Delos Reyes</x:v>
      </x:c>
      <x:c r="C51" s="1" t="str">
        <x:v>Exit</x:v>
      </x:c>
      <x:c r="D51" s="1" t="str">
        <x:v>Fast</x:v>
      </x:c>
      <x:c r="E51" s="1" t="str">
        <x:v>GRANTED</x:v>
      </x:c>
      <x:c r="F51" s="11" t="n">
        <x:v>10.9356</x:v>
      </x:c>
      <x:c r="G51" s="11" t="str">
        <x:v>N/A (Bypassed)</x:v>
      </x:c>
      <x:c r="H51" s="11" t="str">
        <x:v>N/A (Bypassed)</x:v>
      </x:c>
      <x:c r="I51" s="11" t="str">
        <x:v>N/A (Bypassed)</x:v>
      </x:c>
      <x:c r="J51" s="11" t="str">
        <x:v>N/A (Bypassed)</x:v>
      </x:c>
      <x:c r="K51" s="11" t="str">
        <x:v>N/A</x:v>
      </x:c>
      <x:c r="L51" s="11" t="n">
        <x:v>10.9356</x:v>
      </x:c>
      <x:c r="M51" s="11" t="n">
        <x:v>4.0539</x:v>
      </x:c>
      <x:c r="N51" s="1" t="str">
        <x:v>6898be28591c4e1abe73f83f56b307e4</x:v>
      </x:c>
      <x:c r="O51" s="1" t="str">
        <x:v>Admin Office - 1</x:v>
      </x:c>
      <x:c r="P51" s="1" t="n">
        <x:v>1</x:v>
      </x:c>
      <x:c r="Q51" s="1" t="str">
        <x:v>fast_mode_logs</x:v>
      </x:c>
      <x:c r="R51" s="1" t="n">
        <x:v>46</x:v>
      </x:c>
      <x:c r="S51" s="1" t="str">
        <x:v>Reset exit</x:v>
      </x:c>
      <x:c r="T51" s="1"/>
      <x:c r="U51" s="5" t="str"/>
      <x:c r="V51" s="1" t="n">
        <x:v>0</x:v>
      </x:c>
      <x:c r="W51" s="1" t="n">
        <x:v>0</x:v>
      </x:c>
      <x:c r="X51" s="1" t="str">
        <x:v>Not applicable</x:v>
      </x:c>
      <x:c r="Y51" s="1" t="n">
        <x:f>IF(V51=1,IF(E51="GRANTED",IF(X51="GRANTED",1,0),IF(X51="DENIED",1,0)),0)</x:f>
        <x:v>0</x:v>
      </x:c>
    </x:row>
    <x:row r="52" ht="23" customHeight="1">
      <x:c r="A52" s="9" t="n">
        <x:v>46246.48212537037</x:v>
      </x:c>
      <x:c r="B52" s="1" t="str">
        <x:v>Maria Santos</x:v>
      </x:c>
      <x:c r="C52" s="1" t="str">
        <x:v>Exit</x:v>
      </x:c>
      <x:c r="D52" s="1" t="str">
        <x:v>Fast</x:v>
      </x:c>
      <x:c r="E52" s="1" t="str">
        <x:v>GRANTED</x:v>
      </x:c>
      <x:c r="F52" s="11" t="n">
        <x:v>10.7539</x:v>
      </x:c>
      <x:c r="G52" s="11" t="str">
        <x:v>N/A (Bypassed)</x:v>
      </x:c>
      <x:c r="H52" s="11" t="str">
        <x:v>N/A (Bypassed)</x:v>
      </x:c>
      <x:c r="I52" s="11" t="str">
        <x:v>N/A (Bypassed)</x:v>
      </x:c>
      <x:c r="J52" s="11" t="str">
        <x:v>N/A (Bypassed)</x:v>
      </x:c>
      <x:c r="K52" s="11" t="str">
        <x:v>N/A</x:v>
      </x:c>
      <x:c r="L52" s="11" t="n">
        <x:v>10.7539</x:v>
      </x:c>
      <x:c r="M52" s="11" t="n">
        <x:v>2.4285</x:v>
      </x:c>
      <x:c r="N52" s="1" t="str">
        <x:v>6898be28591c4e1abe73f83f56b307e4</x:v>
      </x:c>
      <x:c r="O52" s="1" t="str">
        <x:v>Admin Office - 1</x:v>
      </x:c>
      <x:c r="P52" s="1" t="n">
        <x:v>1</x:v>
      </x:c>
      <x:c r="Q52" s="1" t="str">
        <x:v>fast_mode_logs</x:v>
      </x:c>
      <x:c r="R52" s="1" t="n">
        <x:v>47</x:v>
      </x:c>
      <x:c r="S52" s="1" t="str">
        <x:v>Reset exit</x:v>
      </x:c>
      <x:c r="T52" s="1"/>
      <x:c r="U52" s="5" t="str"/>
      <x:c r="V52" s="1" t="n">
        <x:v>0</x:v>
      </x:c>
      <x:c r="W52" s="1" t="n">
        <x:v>0</x:v>
      </x:c>
      <x:c r="X52" s="1" t="str">
        <x:v>Not applicable</x:v>
      </x:c>
      <x:c r="Y52" s="1" t="n">
        <x:f>IF(V52=1,IF(E52="GRANTED",IF(X52="GRANTED",1,0),IF(X52="DENIED",1,0)),0)</x:f>
        <x:v>0</x:v>
      </x:c>
    </x:row>
    <x:row r="53" ht="23" customHeight="1">
      <x:c r="A53" s="9" t="n">
        <x:v>46246.48210059028</x:v>
      </x:c>
      <x:c r="B53" s="1" t="str">
        <x:v>Maria Clara</x:v>
      </x:c>
      <x:c r="C53" s="1" t="str">
        <x:v>Exit</x:v>
      </x:c>
      <x:c r="D53" s="1" t="str">
        <x:v>Fast</x:v>
      </x:c>
      <x:c r="E53" s="1" t="str">
        <x:v>GRANTED</x:v>
      </x:c>
      <x:c r="F53" s="11" t="n">
        <x:v>11.6652</x:v>
      </x:c>
      <x:c r="G53" s="11" t="str">
        <x:v>N/A (Bypassed)</x:v>
      </x:c>
      <x:c r="H53" s="11" t="str">
        <x:v>N/A (Bypassed)</x:v>
      </x:c>
      <x:c r="I53" s="11" t="str">
        <x:v>N/A (Bypassed)</x:v>
      </x:c>
      <x:c r="J53" s="11" t="str">
        <x:v>N/A (Bypassed)</x:v>
      </x:c>
      <x:c r="K53" s="11" t="str">
        <x:v>N/A</x:v>
      </x:c>
      <x:c r="L53" s="11" t="n">
        <x:v>11.6652</x:v>
      </x:c>
      <x:c r="M53" s="11" t="n">
        <x:v>3.7524</x:v>
      </x:c>
      <x:c r="N53" s="1" t="str">
        <x:v>6898be28591c4e1abe73f83f56b307e4</x:v>
      </x:c>
      <x:c r="O53" s="1" t="str">
        <x:v>Admin Office - 1</x:v>
      </x:c>
      <x:c r="P53" s="1" t="n">
        <x:v>1</x:v>
      </x:c>
      <x:c r="Q53" s="1" t="str">
        <x:v>fast_mode_logs</x:v>
      </x:c>
      <x:c r="R53" s="1" t="n">
        <x:v>48</x:v>
      </x:c>
      <x:c r="S53" s="1" t="str">
        <x:v>Reset exit</x:v>
      </x:c>
      <x:c r="T53" s="1"/>
      <x:c r="U53" s="5" t="str"/>
      <x:c r="V53" s="1" t="n">
        <x:v>0</x:v>
      </x:c>
      <x:c r="W53" s="1" t="n">
        <x:v>0</x:v>
      </x:c>
      <x:c r="X53" s="1" t="str">
        <x:v>Not applicable</x:v>
      </x:c>
      <x:c r="Y53" s="1" t="n">
        <x:f>IF(V53=1,IF(E53="GRANTED",IF(X53="GRANTED",1,0),IF(X53="DENIED",1,0)),0)</x:f>
        <x:v>0</x:v>
      </x:c>
    </x:row>
    <x:row r="54" ht="23" customHeight="1">
      <x:c r="A54" s="9" t="n">
        <x:v>46246.482078263885</x:v>
      </x:c>
      <x:c r="B54" s="1" t="str">
        <x:v>Juana Dela Cruz</x:v>
      </x:c>
      <x:c r="C54" s="1" t="str">
        <x:v>Exit</x:v>
      </x:c>
      <x:c r="D54" s="1" t="str">
        <x:v>Fast</x:v>
      </x:c>
      <x:c r="E54" s="1" t="str">
        <x:v>GRANTED</x:v>
      </x:c>
      <x:c r="F54" s="11" t="n">
        <x:v>10.1852</x:v>
      </x:c>
      <x:c r="G54" s="11" t="str">
        <x:v>N/A (Bypassed)</x:v>
      </x:c>
      <x:c r="H54" s="11" t="str">
        <x:v>N/A (Bypassed)</x:v>
      </x:c>
      <x:c r="I54" s="11" t="str">
        <x:v>N/A (Bypassed)</x:v>
      </x:c>
      <x:c r="J54" s="11" t="str">
        <x:v>N/A (Bypassed)</x:v>
      </x:c>
      <x:c r="K54" s="11" t="str">
        <x:v>N/A</x:v>
      </x:c>
      <x:c r="L54" s="11" t="n">
        <x:v>10.1852</x:v>
      </x:c>
      <x:c r="M54" s="11" t="n">
        <x:v>2.6796</x:v>
      </x:c>
      <x:c r="N54" s="1" t="str">
        <x:v>6898be28591c4e1abe73f83f56b307e4</x:v>
      </x:c>
      <x:c r="O54" s="1" t="str">
        <x:v>Admin Office - 1</x:v>
      </x:c>
      <x:c r="P54" s="1" t="n">
        <x:v>1</x:v>
      </x:c>
      <x:c r="Q54" s="1" t="str">
        <x:v>fast_mode_logs</x:v>
      </x:c>
      <x:c r="R54" s="1" t="n">
        <x:v>49</x:v>
      </x:c>
      <x:c r="S54" s="1" t="str">
        <x:v>Reset exit</x:v>
      </x:c>
      <x:c r="T54" s="1"/>
      <x:c r="U54" s="5" t="str"/>
      <x:c r="V54" s="1" t="n">
        <x:v>0</x:v>
      </x:c>
      <x:c r="W54" s="1" t="n">
        <x:v>0</x:v>
      </x:c>
      <x:c r="X54" s="1" t="str">
        <x:v>Not applicable</x:v>
      </x:c>
      <x:c r="Y54" s="1" t="n">
        <x:f>IF(V54=1,IF(E54="GRANTED",IF(X54="GRANTED",1,0),IF(X54="DENIED",1,0)),0)</x:f>
        <x:v>0</x:v>
      </x:c>
    </x:row>
    <x:row r="55" ht="23" customHeight="1">
      <x:c r="A55" s="9" t="n">
        <x:v>46246.48205369213</x:v>
      </x:c>
      <x:c r="B55" s="1" t="str">
        <x:v>Maria Dela Cruz</x:v>
      </x:c>
      <x:c r="C55" s="1" t="str">
        <x:v>Exit</x:v>
      </x:c>
      <x:c r="D55" s="1" t="str">
        <x:v>Fast</x:v>
      </x:c>
      <x:c r="E55" s="1" t="str">
        <x:v>GRANTED</x:v>
      </x:c>
      <x:c r="F55" s="11" t="n">
        <x:v>12.6402</x:v>
      </x:c>
      <x:c r="G55" s="11" t="str">
        <x:v>N/A (Bypassed)</x:v>
      </x:c>
      <x:c r="H55" s="11" t="str">
        <x:v>N/A (Bypassed)</x:v>
      </x:c>
      <x:c r="I55" s="11" t="str">
        <x:v>N/A (Bypassed)</x:v>
      </x:c>
      <x:c r="J55" s="11" t="str">
        <x:v>N/A (Bypassed)</x:v>
      </x:c>
      <x:c r="K55" s="11" t="str">
        <x:v>N/A</x:v>
      </x:c>
      <x:c r="L55" s="11" t="n">
        <x:v>12.6402</x:v>
      </x:c>
      <x:c r="M55" s="11" t="n">
        <x:v>4.7947</x:v>
      </x:c>
      <x:c r="N55" s="1" t="str">
        <x:v>6898be28591c4e1abe73f83f56b307e4</x:v>
      </x:c>
      <x:c r="O55" s="1" t="str">
        <x:v>Admin Office - 1</x:v>
      </x:c>
      <x:c r="P55" s="1" t="n">
        <x:v>1</x:v>
      </x:c>
      <x:c r="Q55" s="1" t="str">
        <x:v>fast_mode_logs</x:v>
      </x:c>
      <x:c r="R55" s="1" t="n">
        <x:v>50</x:v>
      </x:c>
      <x:c r="S55" s="1" t="str">
        <x:v>Reset exit</x:v>
      </x:c>
      <x:c r="T55" s="1"/>
      <x:c r="U55" s="5" t="str"/>
      <x:c r="V55" s="1" t="n">
        <x:v>0</x:v>
      </x:c>
      <x:c r="W55" s="1" t="n">
        <x:v>0</x:v>
      </x:c>
      <x:c r="X55" s="1" t="str">
        <x:v>Not applicable</x:v>
      </x:c>
      <x:c r="Y55" s="1" t="n">
        <x:f>IF(V55=1,IF(E55="GRANTED",IF(X55="GRANTED",1,0),IF(X55="DENIED",1,0)),0)</x:f>
        <x:v>0</x:v>
      </x:c>
    </x:row>
    <x:row r="56" ht="23" customHeight="1">
      <x:c r="A56" s="9" t="n">
        <x:v>46246.48203190972</x:v>
      </x:c>
      <x:c r="B56" s="1" t="str">
        <x:v>Basilio Magbanua</x:v>
      </x:c>
      <x:c r="C56" s="1" t="str">
        <x:v>Exit</x:v>
      </x:c>
      <x:c r="D56" s="1" t="str">
        <x:v>Fast</x:v>
      </x:c>
      <x:c r="E56" s="1" t="str">
        <x:v>GRANTED</x:v>
      </x:c>
      <x:c r="F56" s="11" t="n">
        <x:v>12.6112</x:v>
      </x:c>
      <x:c r="G56" s="11" t="str">
        <x:v>N/A (Bypassed)</x:v>
      </x:c>
      <x:c r="H56" s="11" t="str">
        <x:v>N/A (Bypassed)</x:v>
      </x:c>
      <x:c r="I56" s="11" t="str">
        <x:v>N/A (Bypassed)</x:v>
      </x:c>
      <x:c r="J56" s="11" t="str">
        <x:v>N/A (Bypassed)</x:v>
      </x:c>
      <x:c r="K56" s="11" t="str">
        <x:v>N/A</x:v>
      </x:c>
      <x:c r="L56" s="11" t="n">
        <x:v>12.6112</x:v>
      </x:c>
      <x:c r="M56" s="11" t="n">
        <x:v>2.5847</x:v>
      </x:c>
      <x:c r="N56" s="1" t="str">
        <x:v>6898be28591c4e1abe73f83f56b307e4</x:v>
      </x:c>
      <x:c r="O56" s="1" t="str">
        <x:v>Admin Office - 1</x:v>
      </x:c>
      <x:c r="P56" s="1" t="n">
        <x:v>1</x:v>
      </x:c>
      <x:c r="Q56" s="1" t="str">
        <x:v>fast_mode_logs</x:v>
      </x:c>
      <x:c r="R56" s="1" t="n">
        <x:v>51</x:v>
      </x:c>
      <x:c r="S56" s="1" t="str">
        <x:v>Reset exit</x:v>
      </x:c>
      <x:c r="T56" s="1"/>
      <x:c r="U56" s="5" t="str"/>
      <x:c r="V56" s="1" t="n">
        <x:v>0</x:v>
      </x:c>
      <x:c r="W56" s="1" t="n">
        <x:v>0</x:v>
      </x:c>
      <x:c r="X56" s="1" t="str">
        <x:v>Not applicable</x:v>
      </x:c>
      <x:c r="Y56" s="1" t="n">
        <x:f>IF(V56=1,IF(E56="GRANTED",IF(X56="GRANTED",1,0),IF(X56="DENIED",1,0)),0)</x:f>
        <x:v>0</x:v>
      </x:c>
    </x:row>
    <x:row r="57" ht="23" customHeight="1">
      <x:c r="A57" s="9" t="n">
        <x:v>46246.482001550925</x:v>
      </x:c>
      <x:c r="B57" s="1" t="str">
        <x:v>Bayani Dela Rosa</x:v>
      </x:c>
      <x:c r="C57" s="1" t="str">
        <x:v>Exit</x:v>
      </x:c>
      <x:c r="D57" s="1" t="str">
        <x:v>Fast</x:v>
      </x:c>
      <x:c r="E57" s="1" t="str">
        <x:v>GRANTED</x:v>
      </x:c>
      <x:c r="F57" s="11" t="n">
        <x:v>11.4228</x:v>
      </x:c>
      <x:c r="G57" s="11" t="str">
        <x:v>N/A (Bypassed)</x:v>
      </x:c>
      <x:c r="H57" s="11" t="str">
        <x:v>N/A (Bypassed)</x:v>
      </x:c>
      <x:c r="I57" s="11" t="str">
        <x:v>N/A (Bypassed)</x:v>
      </x:c>
      <x:c r="J57" s="11" t="str">
        <x:v>N/A (Bypassed)</x:v>
      </x:c>
      <x:c r="K57" s="11" t="str">
        <x:v>N/A</x:v>
      </x:c>
      <x:c r="L57" s="11" t="n">
        <x:v>11.4228</x:v>
      </x:c>
      <x:c r="M57" s="11" t="n">
        <x:v>3.9905</x:v>
      </x:c>
      <x:c r="N57" s="1" t="str">
        <x:v>6898be28591c4e1abe73f83f56b307e4</x:v>
      </x:c>
      <x:c r="O57" s="1" t="str">
        <x:v>Admin Office - 1</x:v>
      </x:c>
      <x:c r="P57" s="1" t="n">
        <x:v>1</x:v>
      </x:c>
      <x:c r="Q57" s="1" t="str">
        <x:v>fast_mode_logs</x:v>
      </x:c>
      <x:c r="R57" s="1" t="n">
        <x:v>52</x:v>
      </x:c>
      <x:c r="S57" s="1" t="str">
        <x:v>Reset exit</x:v>
      </x:c>
      <x:c r="T57" s="1"/>
      <x:c r="U57" s="5" t="str"/>
      <x:c r="V57" s="1" t="n">
        <x:v>0</x:v>
      </x:c>
      <x:c r="W57" s="1" t="n">
        <x:v>0</x:v>
      </x:c>
      <x:c r="X57" s="1" t="str">
        <x:v>Not applicable</x:v>
      </x:c>
      <x:c r="Y57" s="1" t="n">
        <x:f>IF(V57=1,IF(E57="GRANTED",IF(X57="GRANTED",1,0),IF(X57="DENIED",1,0)),0)</x:f>
        <x:v>0</x:v>
      </x:c>
    </x:row>
    <x:row r="58" ht="23" customHeight="1">
      <x:c r="A58" s="9" t="n">
        <x:v>46246.4819775463</x:v>
      </x:c>
      <x:c r="B58" s="1" t="str">
        <x:v>Jose Mari Bautista</x:v>
      </x:c>
      <x:c r="C58" s="1" t="str">
        <x:v>Exit</x:v>
      </x:c>
      <x:c r="D58" s="1" t="str">
        <x:v>Fast</x:v>
      </x:c>
      <x:c r="E58" s="1" t="str">
        <x:v>GRANTED</x:v>
      </x:c>
      <x:c r="F58" s="11" t="n">
        <x:v>10.1802</x:v>
      </x:c>
      <x:c r="G58" s="11" t="str">
        <x:v>N/A (Bypassed)</x:v>
      </x:c>
      <x:c r="H58" s="11" t="str">
        <x:v>N/A (Bypassed)</x:v>
      </x:c>
      <x:c r="I58" s="11" t="str">
        <x:v>N/A (Bypassed)</x:v>
      </x:c>
      <x:c r="J58" s="11" t="str">
        <x:v>N/A (Bypassed)</x:v>
      </x:c>
      <x:c r="K58" s="11" t="str">
        <x:v>N/A</x:v>
      </x:c>
      <x:c r="L58" s="11" t="n">
        <x:v>10.1802</x:v>
      </x:c>
      <x:c r="M58" s="11" t="n">
        <x:v>2.5827</x:v>
      </x:c>
      <x:c r="N58" s="1" t="str">
        <x:v>6898be28591c4e1abe73f83f56b307e4</x:v>
      </x:c>
      <x:c r="O58" s="1" t="str">
        <x:v>Admin Office - 1</x:v>
      </x:c>
      <x:c r="P58" s="1" t="n">
        <x:v>1</x:v>
      </x:c>
      <x:c r="Q58" s="1" t="str">
        <x:v>fast_mode_logs</x:v>
      </x:c>
      <x:c r="R58" s="1" t="n">
        <x:v>53</x:v>
      </x:c>
      <x:c r="S58" s="1" t="str">
        <x:v>Reset exit</x:v>
      </x:c>
      <x:c r="T58" s="1"/>
      <x:c r="U58" s="5" t="str"/>
      <x:c r="V58" s="1" t="n">
        <x:v>0</x:v>
      </x:c>
      <x:c r="W58" s="1" t="n">
        <x:v>0</x:v>
      </x:c>
      <x:c r="X58" s="1" t="str">
        <x:v>Not applicable</x:v>
      </x:c>
      <x:c r="Y58" s="1" t="n">
        <x:f>IF(V58=1,IF(E58="GRANTED",IF(X58="GRANTED",1,0),IF(X58="DENIED",1,0)),0)</x:f>
        <x:v>0</x:v>
      </x:c>
    </x:row>
    <x:row r="59" ht="23" customHeight="1">
      <x:c r="A59" s="9" t="n">
        <x:v>46246.48195449074</x:v>
      </x:c>
      <x:c r="B59" s="1" t="str">
        <x:v>Angelito Fernandez</x:v>
      </x:c>
      <x:c r="C59" s="1" t="str">
        <x:v>Exit</x:v>
      </x:c>
      <x:c r="D59" s="1" t="str">
        <x:v>Fast</x:v>
      </x:c>
      <x:c r="E59" s="1" t="str">
        <x:v>GRANTED</x:v>
      </x:c>
      <x:c r="F59" s="11" t="n">
        <x:v>10.4397</x:v>
      </x:c>
      <x:c r="G59" s="11" t="str">
        <x:v>N/A (Bypassed)</x:v>
      </x:c>
      <x:c r="H59" s="11" t="str">
        <x:v>N/A (Bypassed)</x:v>
      </x:c>
      <x:c r="I59" s="11" t="str">
        <x:v>N/A (Bypassed)</x:v>
      </x:c>
      <x:c r="J59" s="11" t="str">
        <x:v>N/A (Bypassed)</x:v>
      </x:c>
      <x:c r="K59" s="11" t="str">
        <x:v>N/A</x:v>
      </x:c>
      <x:c r="L59" s="11" t="n">
        <x:v>10.4397</x:v>
      </x:c>
      <x:c r="M59" s="11" t="n">
        <x:v>2.8128</x:v>
      </x:c>
      <x:c r="N59" s="1" t="str">
        <x:v>6898be28591c4e1abe73f83f56b307e4</x:v>
      </x:c>
      <x:c r="O59" s="1" t="str">
        <x:v>Admin Office - 1</x:v>
      </x:c>
      <x:c r="P59" s="1" t="n">
        <x:v>1</x:v>
      </x:c>
      <x:c r="Q59" s="1" t="str">
        <x:v>fast_mode_logs</x:v>
      </x:c>
      <x:c r="R59" s="1" t="n">
        <x:v>54</x:v>
      </x:c>
      <x:c r="S59" s="1" t="str">
        <x:v>Reset exit</x:v>
      </x:c>
      <x:c r="T59" s="1"/>
      <x:c r="U59" s="5" t="str"/>
      <x:c r="V59" s="1" t="n">
        <x:v>0</x:v>
      </x:c>
      <x:c r="W59" s="1" t="n">
        <x:v>0</x:v>
      </x:c>
      <x:c r="X59" s="1" t="str">
        <x:v>Not applicable</x:v>
      </x:c>
      <x:c r="Y59" s="1" t="n">
        <x:f>IF(V59=1,IF(E59="GRANTED",IF(X59="GRANTED",1,0),IF(X59="DENIED",1,0)),0)</x:f>
        <x:v>0</x:v>
      </x:c>
    </x:row>
    <x:row r="60" ht="23" customHeight="1">
      <x:c r="A60" s="9" t="n">
        <x:v>46246.481926712964</x:v>
      </x:c>
      <x:c r="B60" s="1" t="str">
        <x:v>Roberto Ramos</x:v>
      </x:c>
      <x:c r="C60" s="1" t="str">
        <x:v>Exit</x:v>
      </x:c>
      <x:c r="D60" s="1" t="str">
        <x:v>Fast</x:v>
      </x:c>
      <x:c r="E60" s="1" t="str">
        <x:v>GRANTED</x:v>
      </x:c>
      <x:c r="F60" s="11" t="n">
        <x:v>10.9093</x:v>
      </x:c>
      <x:c r="G60" s="11" t="str">
        <x:v>N/A (Bypassed)</x:v>
      </x:c>
      <x:c r="H60" s="11" t="str">
        <x:v>N/A (Bypassed)</x:v>
      </x:c>
      <x:c r="I60" s="11" t="str">
        <x:v>N/A (Bypassed)</x:v>
      </x:c>
      <x:c r="J60" s="11" t="str">
        <x:v>N/A (Bypassed)</x:v>
      </x:c>
      <x:c r="K60" s="11" t="str">
        <x:v>N/A</x:v>
      </x:c>
      <x:c r="L60" s="11" t="n">
        <x:v>10.9093</x:v>
      </x:c>
      <x:c r="M60" s="11" t="n">
        <x:v>2.7411</x:v>
      </x:c>
      <x:c r="N60" s="1" t="str">
        <x:v>6898be28591c4e1abe73f83f56b307e4</x:v>
      </x:c>
      <x:c r="O60" s="1" t="str">
        <x:v>Admin Office - 1</x:v>
      </x:c>
      <x:c r="P60" s="1" t="n">
        <x:v>1</x:v>
      </x:c>
      <x:c r="Q60" s="1" t="str">
        <x:v>fast_mode_logs</x:v>
      </x:c>
      <x:c r="R60" s="1" t="n">
        <x:v>55</x:v>
      </x:c>
      <x:c r="S60" s="1" t="str">
        <x:v>Reset exit</x:v>
      </x:c>
      <x:c r="T60" s="1"/>
      <x:c r="U60" s="5" t="str"/>
      <x:c r="V60" s="1" t="n">
        <x:v>0</x:v>
      </x:c>
      <x:c r="W60" s="1" t="n">
        <x:v>0</x:v>
      </x:c>
      <x:c r="X60" s="1" t="str">
        <x:v>Not applicable</x:v>
      </x:c>
      <x:c r="Y60" s="1" t="n">
        <x:f>IF(V60=1,IF(E60="GRANTED",IF(X60="GRANTED",1,0),IF(X60="DENIED",1,0)),0)</x:f>
        <x:v>0</x:v>
      </x:c>
    </x:row>
    <x:row r="61" ht="23" customHeight="1">
      <x:c r="A61" s="9" t="n">
        <x:v>46246.48190304398</x:v>
      </x:c>
      <x:c r="B61" s="1" t="str">
        <x:v>Juanito Delos Santos</x:v>
      </x:c>
      <x:c r="C61" s="1" t="str">
        <x:v>Exit</x:v>
      </x:c>
      <x:c r="D61" s="1" t="str">
        <x:v>Fast</x:v>
      </x:c>
      <x:c r="E61" s="1" t="str">
        <x:v>GRANTED</x:v>
      </x:c>
      <x:c r="F61" s="11" t="n">
        <x:v>11.7973</x:v>
      </x:c>
      <x:c r="G61" s="11" t="str">
        <x:v>N/A (Bypassed)</x:v>
      </x:c>
      <x:c r="H61" s="11" t="str">
        <x:v>N/A (Bypassed)</x:v>
      </x:c>
      <x:c r="I61" s="11" t="str">
        <x:v>N/A (Bypassed)</x:v>
      </x:c>
      <x:c r="J61" s="11" t="str">
        <x:v>N/A (Bypassed)</x:v>
      </x:c>
      <x:c r="K61" s="11" t="str">
        <x:v>N/A</x:v>
      </x:c>
      <x:c r="L61" s="11" t="n">
        <x:v>11.7973</x:v>
      </x:c>
      <x:c r="M61" s="11" t="n">
        <x:v>2.9912</x:v>
      </x:c>
      <x:c r="N61" s="1" t="str">
        <x:v>6898be28591c4e1abe73f83f56b307e4</x:v>
      </x:c>
      <x:c r="O61" s="1" t="str">
        <x:v>Admin Office - 1</x:v>
      </x:c>
      <x:c r="P61" s="1" t="n">
        <x:v>1</x:v>
      </x:c>
      <x:c r="Q61" s="1" t="str">
        <x:v>fast_mode_logs</x:v>
      </x:c>
      <x:c r="R61" s="1" t="n">
        <x:v>56</x:v>
      </x:c>
      <x:c r="S61" s="1" t="str">
        <x:v>Reset exit</x:v>
      </x:c>
      <x:c r="T61" s="1"/>
      <x:c r="U61" s="5" t="str"/>
      <x:c r="V61" s="1" t="n">
        <x:v>0</x:v>
      </x:c>
      <x:c r="W61" s="1" t="n">
        <x:v>0</x:v>
      </x:c>
      <x:c r="X61" s="1" t="str">
        <x:v>Not applicable</x:v>
      </x:c>
      <x:c r="Y61" s="1" t="n">
        <x:f>IF(V61=1,IF(E61="GRANTED",IF(X61="GRANTED",1,0),IF(X61="DENIED",1,0)),0)</x:f>
        <x:v>0</x:v>
      </x:c>
    </x:row>
    <x:row r="62" ht="23" customHeight="1">
      <x:c r="A62" s="9" t="n">
        <x:v>46246.48187693287</x:v>
      </x:c>
      <x:c r="B62" s="1" t="str">
        <x:v>[TEMP] Manuel Mendoza</x:v>
      </x:c>
      <x:c r="C62" s="1" t="str">
        <x:v>Exit</x:v>
      </x:c>
      <x:c r="D62" s="1" t="str">
        <x:v>Fast</x:v>
      </x:c>
      <x:c r="E62" s="1" t="str">
        <x:v>GRANTED</x:v>
      </x:c>
      <x:c r="F62" s="11" t="n">
        <x:v>11.4</x:v>
      </x:c>
      <x:c r="G62" s="11" t="str">
        <x:v>N/A (Bypassed)</x:v>
      </x:c>
      <x:c r="H62" s="11" t="str">
        <x:v>N/A (Bypassed)</x:v>
      </x:c>
      <x:c r="I62" s="11" t="str">
        <x:v>N/A (Bypassed)</x:v>
      </x:c>
      <x:c r="J62" s="11" t="str">
        <x:v>N/A (Bypassed)</x:v>
      </x:c>
      <x:c r="K62" s="11" t="str">
        <x:v>N/A</x:v>
      </x:c>
      <x:c r="L62" s="11" t="n">
        <x:v>11.4</x:v>
      </x:c>
      <x:c r="M62" s="11" t="n">
        <x:v>2.617</x:v>
      </x:c>
      <x:c r="N62" s="1" t="str">
        <x:v>6898be28591c4e1abe73f83f56b307e4</x:v>
      </x:c>
      <x:c r="O62" s="1" t="str">
        <x:v>Admin Office - 1</x:v>
      </x:c>
      <x:c r="P62" s="1" t="n">
        <x:v>1</x:v>
      </x:c>
      <x:c r="Q62" s="1" t="str">
        <x:v>fast_mode_logs</x:v>
      </x:c>
      <x:c r="R62" s="1" t="n">
        <x:v>57</x:v>
      </x:c>
      <x:c r="S62" s="1" t="str">
        <x:v>Reset exit</x:v>
      </x:c>
      <x:c r="T62" s="1"/>
      <x:c r="U62" s="5" t="str"/>
      <x:c r="V62" s="1" t="n">
        <x:v>0</x:v>
      </x:c>
      <x:c r="W62" s="1" t="n">
        <x:v>0</x:v>
      </x:c>
      <x:c r="X62" s="1" t="str">
        <x:v>Not applicable</x:v>
      </x:c>
      <x:c r="Y62" s="1" t="n">
        <x:f>IF(V62=1,IF(E62="GRANTED",IF(X62="GRANTED",1,0),IF(X62="DENIED",1,0)),0)</x:f>
        <x:v>0</x:v>
      </x:c>
    </x:row>
    <x:row r="63" ht="23" customHeight="1">
      <x:c r="A63" s="9" t="n">
        <x:v>46246.48184581018</x:v>
      </x:c>
      <x:c r="B63" s="1" t="str">
        <x:v>Francisco Garcia</x:v>
      </x:c>
      <x:c r="C63" s="1" t="str">
        <x:v>Exit</x:v>
      </x:c>
      <x:c r="D63" s="1" t="str">
        <x:v>Fast</x:v>
      </x:c>
      <x:c r="E63" s="1" t="str">
        <x:v>GRANTED</x:v>
      </x:c>
      <x:c r="F63" s="11" t="n">
        <x:v>11.9695</x:v>
      </x:c>
      <x:c r="G63" s="11" t="str">
        <x:v>N/A (Bypassed)</x:v>
      </x:c>
      <x:c r="H63" s="11" t="str">
        <x:v>N/A (Bypassed)</x:v>
      </x:c>
      <x:c r="I63" s="11" t="str">
        <x:v>N/A (Bypassed)</x:v>
      </x:c>
      <x:c r="J63" s="11" t="str">
        <x:v>N/A (Bypassed)</x:v>
      </x:c>
      <x:c r="K63" s="11" t="str">
        <x:v>N/A</x:v>
      </x:c>
      <x:c r="L63" s="11" t="n">
        <x:v>11.9695</x:v>
      </x:c>
      <x:c r="M63" s="11" t="n">
        <x:v>2.8665</x:v>
      </x:c>
      <x:c r="N63" s="1" t="str">
        <x:v>6898be28591c4e1abe73f83f56b307e4</x:v>
      </x:c>
      <x:c r="O63" s="1" t="str">
        <x:v>Admin Office - 1</x:v>
      </x:c>
      <x:c r="P63" s="1" t="n">
        <x:v>1</x:v>
      </x:c>
      <x:c r="Q63" s="1" t="str">
        <x:v>fast_mode_logs</x:v>
      </x:c>
      <x:c r="R63" s="1" t="n">
        <x:v>58</x:v>
      </x:c>
      <x:c r="S63" s="1" t="str">
        <x:v>Reset exit</x:v>
      </x:c>
      <x:c r="T63" s="1"/>
      <x:c r="U63" s="5" t="str"/>
      <x:c r="V63" s="1" t="n">
        <x:v>0</x:v>
      </x:c>
      <x:c r="W63" s="1" t="n">
        <x:v>0</x:v>
      </x:c>
      <x:c r="X63" s="1" t="str">
        <x:v>Not applicable</x:v>
      </x:c>
      <x:c r="Y63" s="1" t="n">
        <x:f>IF(V63=1,IF(E63="GRANTED",IF(X63="GRANTED",1,0),IF(X63="DENIED",1,0)),0)</x:f>
        <x:v>0</x:v>
      </x:c>
    </x:row>
    <x:row r="64" ht="23" customHeight="1">
      <x:c r="A64" s="9" t="n">
        <x:v>46246.48181546296</x:v>
      </x:c>
      <x:c r="B64" s="1" t="str">
        <x:v>[TEMP] Pedro Reyes</x:v>
      </x:c>
      <x:c r="C64" s="1" t="str">
        <x:v>Exit</x:v>
      </x:c>
      <x:c r="D64" s="1" t="str">
        <x:v>Fast</x:v>
      </x:c>
      <x:c r="E64" s="1" t="str">
        <x:v>GRANTED</x:v>
      </x:c>
      <x:c r="F64" s="11" t="n">
        <x:v>11.4788</x:v>
      </x:c>
      <x:c r="G64" s="11" t="str">
        <x:v>N/A (Bypassed)</x:v>
      </x:c>
      <x:c r="H64" s="11" t="str">
        <x:v>N/A (Bypassed)</x:v>
      </x:c>
      <x:c r="I64" s="11" t="str">
        <x:v>N/A (Bypassed)</x:v>
      </x:c>
      <x:c r="J64" s="11" t="str">
        <x:v>N/A (Bypassed)</x:v>
      </x:c>
      <x:c r="K64" s="11" t="str">
        <x:v>N/A</x:v>
      </x:c>
      <x:c r="L64" s="11" t="n">
        <x:v>11.4788</x:v>
      </x:c>
      <x:c r="M64" s="11" t="n">
        <x:v>4.4742</x:v>
      </x:c>
      <x:c r="N64" s="1" t="str">
        <x:v>6898be28591c4e1abe73f83f56b307e4</x:v>
      </x:c>
      <x:c r="O64" s="1" t="str">
        <x:v>Admin Office - 1</x:v>
      </x:c>
      <x:c r="P64" s="1" t="n">
        <x:v>1</x:v>
      </x:c>
      <x:c r="Q64" s="1" t="str">
        <x:v>fast_mode_logs</x:v>
      </x:c>
      <x:c r="R64" s="1" t="n">
        <x:v>59</x:v>
      </x:c>
      <x:c r="S64" s="1" t="str">
        <x:v>Reset exit</x:v>
      </x:c>
      <x:c r="T64" s="1"/>
      <x:c r="U64" s="5" t="str"/>
      <x:c r="V64" s="1" t="n">
        <x:v>0</x:v>
      </x:c>
      <x:c r="W64" s="1" t="n">
        <x:v>0</x:v>
      </x:c>
      <x:c r="X64" s="1" t="str">
        <x:v>Not applicable</x:v>
      </x:c>
      <x:c r="Y64" s="1" t="n">
        <x:f>IF(V64=1,IF(E64="GRANTED",IF(X64="GRANTED",1,0),IF(X64="DENIED",1,0)),0)</x:f>
        <x:v>0</x:v>
      </x:c>
    </x:row>
    <x:row r="65" ht="23" customHeight="1">
      <x:c r="A65" s="9" t="n">
        <x:v>46246.48177532408</x:v>
      </x:c>
      <x:c r="B65" s="1" t="str">
        <x:v>[TEMP] Jose Santos</x:v>
      </x:c>
      <x:c r="C65" s="1" t="str">
        <x:v>Exit</x:v>
      </x:c>
      <x:c r="D65" s="1" t="str">
        <x:v>Fast</x:v>
      </x:c>
      <x:c r="E65" s="1" t="str">
        <x:v>GRANTED</x:v>
      </x:c>
      <x:c r="F65" s="11" t="n">
        <x:v>11.1595</x:v>
      </x:c>
      <x:c r="G65" s="11" t="str">
        <x:v>N/A (Bypassed)</x:v>
      </x:c>
      <x:c r="H65" s="11" t="str">
        <x:v>N/A (Bypassed)</x:v>
      </x:c>
      <x:c r="I65" s="11" t="str">
        <x:v>N/A (Bypassed)</x:v>
      </x:c>
      <x:c r="J65" s="11" t="str">
        <x:v>N/A (Bypassed)</x:v>
      </x:c>
      <x:c r="K65" s="11" t="str">
        <x:v>N/A</x:v>
      </x:c>
      <x:c r="L65" s="11" t="n">
        <x:v>11.1595</x:v>
      </x:c>
      <x:c r="M65" s="11" t="n">
        <x:v>2.5563</x:v>
      </x:c>
      <x:c r="N65" s="1" t="str">
        <x:v>6898be28591c4e1abe73f83f56b307e4</x:v>
      </x:c>
      <x:c r="O65" s="1" t="str">
        <x:v>Admin Office - 1</x:v>
      </x:c>
      <x:c r="P65" s="1" t="n">
        <x:v>1</x:v>
      </x:c>
      <x:c r="Q65" s="1" t="str">
        <x:v>fast_mode_logs</x:v>
      </x:c>
      <x:c r="R65" s="1" t="n">
        <x:v>60</x:v>
      </x:c>
      <x:c r="S65" s="1" t="str">
        <x:v>Reset exit</x:v>
      </x:c>
      <x:c r="T65" s="1"/>
      <x:c r="U65" s="5" t="str"/>
      <x:c r="V65" s="1" t="n">
        <x:v>0</x:v>
      </x:c>
      <x:c r="W65" s="1" t="n">
        <x:v>0</x:v>
      </x:c>
      <x:c r="X65" s="1" t="str">
        <x:v>Not applicable</x:v>
      </x:c>
      <x:c r="Y65" s="1" t="n">
        <x:f>IF(V65=1,IF(E65="GRANTED",IF(X65="GRANTED",1,0),IF(X65="DENIED",1,0)),0)</x:f>
        <x:v>0</x:v>
      </x:c>
    </x:row>
    <x:row r="66" ht="23" customHeight="1">
      <x:c r="A66" s="9" t="n">
        <x:v>46246.48175042824</x:v>
      </x:c>
      <x:c r="B66" s="1" t="str">
        <x:v>[TEMP] Juan Dela Cruz</x:v>
      </x:c>
      <x:c r="C66" s="1" t="str">
        <x:v>Exit</x:v>
      </x:c>
      <x:c r="D66" s="1" t="str">
        <x:v>Fast</x:v>
      </x:c>
      <x:c r="E66" s="1" t="str">
        <x:v>GRANTED</x:v>
      </x:c>
      <x:c r="F66" s="11" t="n">
        <x:v>7.763</x:v>
      </x:c>
      <x:c r="G66" s="11" t="str">
        <x:v>N/A (Bypassed)</x:v>
      </x:c>
      <x:c r="H66" s="11" t="str">
        <x:v>N/A (Bypassed)</x:v>
      </x:c>
      <x:c r="I66" s="11" t="str">
        <x:v>N/A (Bypassed)</x:v>
      </x:c>
      <x:c r="J66" s="11" t="str">
        <x:v>N/A (Bypassed)</x:v>
      </x:c>
      <x:c r="K66" s="11" t="str">
        <x:v>N/A</x:v>
      </x:c>
      <x:c r="L66" s="11" t="n">
        <x:v>7.763</x:v>
      </x:c>
      <x:c r="M66" s="11" t="n">
        <x:v>0.544</x:v>
      </x:c>
      <x:c r="N66" s="1" t="str">
        <x:v>6898be28591c4e1abe73f83f56b307e4</x:v>
      </x:c>
      <x:c r="O66" s="1" t="str">
        <x:v>Admin Office - 1</x:v>
      </x:c>
      <x:c r="P66" s="1" t="n">
        <x:v>1</x:v>
      </x:c>
      <x:c r="Q66" s="1" t="str">
        <x:v>fast_mode_logs</x:v>
      </x:c>
      <x:c r="R66" s="1" t="n">
        <x:v>61</x:v>
      </x:c>
      <x:c r="S66" s="1" t="str">
        <x:v>Reset exit</x:v>
      </x:c>
      <x:c r="T66" s="1"/>
      <x:c r="U66" s="5" t="str"/>
      <x:c r="V66" s="1" t="n">
        <x:v>0</x:v>
      </x:c>
      <x:c r="W66" s="1" t="n">
        <x:v>0</x:v>
      </x:c>
      <x:c r="X66" s="1" t="str">
        <x:v>Not applicable</x:v>
      </x:c>
      <x:c r="Y66" s="1" t="n">
        <x:f>IF(V66=1,IF(E66="GRANTED",IF(X66="GRANTED",1,0),IF(X66="DENIED",1,0)),0)</x:f>
        <x:v>0</x:v>
      </x:c>
    </x:row>
    <x:row r="67" ht="23" customHeight="1">
      <x:c r="A67" s="9" t="n">
        <x:v>46246.48151479167</x:v>
      </x:c>
      <x:c r="B67" s="1" t="str">
        <x:v>Pedro Penduko</x:v>
      </x:c>
      <x:c r="C67" s="1" t="str">
        <x:v>Entry</x:v>
      </x:c>
      <x:c r="D67" s="1" t="str">
        <x:v>Fast</x:v>
      </x:c>
      <x:c r="E67" s="1" t="str">
        <x:v>GRANTED</x:v>
      </x:c>
      <x:c r="F67" s="11" t="n">
        <x:v>10.4907</x:v>
      </x:c>
      <x:c r="G67" s="11" t="str">
        <x:v>N/A (Bypassed)</x:v>
      </x:c>
      <x:c r="H67" s="11" t="str">
        <x:v>N/A (Bypassed)</x:v>
      </x:c>
      <x:c r="I67" s="11" t="str">
        <x:v>N/A (Bypassed)</x:v>
      </x:c>
      <x:c r="J67" s="11" t="str">
        <x:v>N/A (Bypassed)</x:v>
      </x:c>
      <x:c r="K67" s="11" t="str">
        <x:v>N/A</x:v>
      </x:c>
      <x:c r="L67" s="11" t="n">
        <x:v>10.4907</x:v>
      </x:c>
      <x:c r="M67" s="11" t="n">
        <x:v>2.5649</x:v>
      </x:c>
      <x:c r="N67" s="1" t="str">
        <x:v>6898be28591c4e1abe73f83f56b307e4</x:v>
      </x:c>
      <x:c r="O67" s="1" t="str">
        <x:v>Admin Office - 1</x:v>
      </x:c>
      <x:c r="P67" s="1" t="n">
        <x:v>1</x:v>
      </x:c>
      <x:c r="Q67" s="1" t="str">
        <x:v>fast_mode_logs</x:v>
      </x:c>
      <x:c r="R67" s="1" t="n">
        <x:v>62</x:v>
      </x:c>
      <x:c r="S67" s="1" t="str">
        <x:v>Successful entry</x:v>
      </x:c>
      <x:c r="T67" s="1" t="n">
        <x:v>1</x:v>
      </x:c>
      <x:c r="U67" s="5" t="str"/>
      <x:c r="V67" s="1" t="n">
        <x:v>1</x:v>
      </x:c>
      <x:c r="W67" s="1" t="n">
        <x:v>0</x:v>
      </x:c>
      <x:c r="X67" s="1" t="str">
        <x:v>GRANTED</x:v>
      </x:c>
      <x:c r="Y67" s="1" t="n">
        <x:f>IF(V67=1,IF(E67="GRANTED",IF(X67="GRANTED",1,0),IF(X67="DENIED",1,0)),0)</x:f>
        <x:v>1</x:v>
      </x:c>
    </x:row>
    <x:row r="68" ht="23" customHeight="1">
      <x:c r="A68" s="9" t="n">
        <x:v>46246.4814653588</x:v>
      </x:c>
      <x:c r="B68" s="1" t="str">
        <x:v>Juan Tamad</x:v>
      </x:c>
      <x:c r="C68" s="1" t="str">
        <x:v>Entry</x:v>
      </x:c>
      <x:c r="D68" s="1" t="str">
        <x:v>Fast</x:v>
      </x:c>
      <x:c r="E68" s="1" t="str">
        <x:v>GRANTED</x:v>
      </x:c>
      <x:c r="F68" s="11" t="n">
        <x:v>11.7109</x:v>
      </x:c>
      <x:c r="G68" s="11" t="str">
        <x:v>N/A (Bypassed)</x:v>
      </x:c>
      <x:c r="H68" s="11" t="str">
        <x:v>N/A (Bypassed)</x:v>
      </x:c>
      <x:c r="I68" s="11" t="str">
        <x:v>N/A (Bypassed)</x:v>
      </x:c>
      <x:c r="J68" s="11" t="str">
        <x:v>N/A (Bypassed)</x:v>
      </x:c>
      <x:c r="K68" s="11" t="str">
        <x:v>N/A</x:v>
      </x:c>
      <x:c r="L68" s="11" t="n">
        <x:v>11.7109</x:v>
      </x:c>
      <x:c r="M68" s="11" t="n">
        <x:v>2.5428</x:v>
      </x:c>
      <x:c r="N68" s="1" t="str">
        <x:v>6898be28591c4e1abe73f83f56b307e4</x:v>
      </x:c>
      <x:c r="O68" s="1" t="str">
        <x:v>Admin Office - 1</x:v>
      </x:c>
      <x:c r="P68" s="1" t="n">
        <x:v>1</x:v>
      </x:c>
      <x:c r="Q68" s="1" t="str">
        <x:v>fast_mode_logs</x:v>
      </x:c>
      <x:c r="R68" s="1" t="n">
        <x:v>63</x:v>
      </x:c>
      <x:c r="S68" s="1" t="str">
        <x:v>Successful entry</x:v>
      </x:c>
      <x:c r="T68" s="1" t="n">
        <x:v>1</x:v>
      </x:c>
      <x:c r="U68" s="5" t="str"/>
      <x:c r="V68" s="1" t="n">
        <x:v>1</x:v>
      </x:c>
      <x:c r="W68" s="1" t="n">
        <x:v>0</x:v>
      </x:c>
      <x:c r="X68" s="1" t="str">
        <x:v>GRANTED</x:v>
      </x:c>
      <x:c r="Y68" s="1" t="n">
        <x:f>IF(V68=1,IF(E68="GRANTED",IF(X68="GRANTED",1,0),IF(X68="DENIED",1,0)),0)</x:f>
        <x:v>1</x:v>
      </x:c>
    </x:row>
    <x:row r="69" ht="23" customHeight="1">
      <x:c r="A69" s="9" t="n">
        <x:v>46246.481437870374</x:v>
      </x:c>
      <x:c r="B69" s="1" t="str">
        <x:v>Luningning Santos</x:v>
      </x:c>
      <x:c r="C69" s="1" t="str">
        <x:v>Entry</x:v>
      </x:c>
      <x:c r="D69" s="1" t="str">
        <x:v>Fast</x:v>
      </x:c>
      <x:c r="E69" s="1" t="str">
        <x:v>GRANTED</x:v>
      </x:c>
      <x:c r="F69" s="11" t="n">
        <x:v>10.877</x:v>
      </x:c>
      <x:c r="G69" s="11" t="str">
        <x:v>N/A (Bypassed)</x:v>
      </x:c>
      <x:c r="H69" s="11" t="str">
        <x:v>N/A (Bypassed)</x:v>
      </x:c>
      <x:c r="I69" s="11" t="str">
        <x:v>N/A (Bypassed)</x:v>
      </x:c>
      <x:c r="J69" s="11" t="str">
        <x:v>N/A (Bypassed)</x:v>
      </x:c>
      <x:c r="K69" s="11" t="str">
        <x:v>N/A</x:v>
      </x:c>
      <x:c r="L69" s="11" t="n">
        <x:v>10.877</x:v>
      </x:c>
      <x:c r="M69" s="11" t="n">
        <x:v>3.8053</x:v>
      </x:c>
      <x:c r="N69" s="1" t="str">
        <x:v>6898be28591c4e1abe73f83f56b307e4</x:v>
      </x:c>
      <x:c r="O69" s="1" t="str">
        <x:v>Admin Office - 1</x:v>
      </x:c>
      <x:c r="P69" s="1" t="n">
        <x:v>1</x:v>
      </x:c>
      <x:c r="Q69" s="1" t="str">
        <x:v>fast_mode_logs</x:v>
      </x:c>
      <x:c r="R69" s="1" t="n">
        <x:v>64</x:v>
      </x:c>
      <x:c r="S69" s="1" t="str">
        <x:v>Successful entry</x:v>
      </x:c>
      <x:c r="T69" s="1" t="n">
        <x:v>1</x:v>
      </x:c>
      <x:c r="U69" s="5" t="str"/>
      <x:c r="V69" s="1" t="n">
        <x:v>1</x:v>
      </x:c>
      <x:c r="W69" s="1" t="n">
        <x:v>0</x:v>
      </x:c>
      <x:c r="X69" s="1" t="str">
        <x:v>GRANTED</x:v>
      </x:c>
      <x:c r="Y69" s="1" t="n">
        <x:f>IF(V69=1,IF(E69="GRANTED",IF(X69="GRANTED",1,0),IF(X69="DENIED",1,0)),0)</x:f>
        <x:v>1</x:v>
      </x:c>
    </x:row>
    <x:row r="70" ht="23" customHeight="1">
      <x:c r="A70" s="9" t="n">
        <x:v>46246.48140716435</x:v>
      </x:c>
      <x:c r="B70" s="1" t="str">
        <x:v>Teresita Gonzales</x:v>
      </x:c>
      <x:c r="C70" s="1" t="str">
        <x:v>Entry</x:v>
      </x:c>
      <x:c r="D70" s="1" t="str">
        <x:v>Fast</x:v>
      </x:c>
      <x:c r="E70" s="1" t="str">
        <x:v>GRANTED</x:v>
      </x:c>
      <x:c r="F70" s="11" t="n">
        <x:v>11.8622</x:v>
      </x:c>
      <x:c r="G70" s="11" t="str">
        <x:v>N/A (Bypassed)</x:v>
      </x:c>
      <x:c r="H70" s="11" t="str">
        <x:v>N/A (Bypassed)</x:v>
      </x:c>
      <x:c r="I70" s="11" t="str">
        <x:v>N/A (Bypassed)</x:v>
      </x:c>
      <x:c r="J70" s="11" t="str">
        <x:v>N/A (Bypassed)</x:v>
      </x:c>
      <x:c r="K70" s="11" t="str">
        <x:v>N/A</x:v>
      </x:c>
      <x:c r="L70" s="11" t="n">
        <x:v>11.8622</x:v>
      </x:c>
      <x:c r="M70" s="11" t="n">
        <x:v>4.515</x:v>
      </x:c>
      <x:c r="N70" s="1" t="str">
        <x:v>6898be28591c4e1abe73f83f56b307e4</x:v>
      </x:c>
      <x:c r="O70" s="1" t="str">
        <x:v>Admin Office - 1</x:v>
      </x:c>
      <x:c r="P70" s="1" t="n">
        <x:v>1</x:v>
      </x:c>
      <x:c r="Q70" s="1" t="str">
        <x:v>fast_mode_logs</x:v>
      </x:c>
      <x:c r="R70" s="1" t="n">
        <x:v>65</x:v>
      </x:c>
      <x:c r="S70" s="1" t="str">
        <x:v>Successful entry</x:v>
      </x:c>
      <x:c r="T70" s="1" t="n">
        <x:v>1</x:v>
      </x:c>
      <x:c r="U70" s="5" t="str"/>
      <x:c r="V70" s="1" t="n">
        <x:v>1</x:v>
      </x:c>
      <x:c r="W70" s="1" t="n">
        <x:v>0</x:v>
      </x:c>
      <x:c r="X70" s="1" t="str">
        <x:v>GRANTED</x:v>
      </x:c>
      <x:c r="Y70" s="1" t="n">
        <x:f>IF(V70=1,IF(E70="GRANTED",IF(X70="GRANTED",1,0),IF(X70="DENIED",1,0)),0)</x:f>
        <x:v>1</x:v>
      </x:c>
    </x:row>
    <x:row r="71" ht="23" customHeight="1">
      <x:c r="A71" s="9" t="n">
        <x:v>46246.481377222226</x:v>
      </x:c>
      <x:c r="B71" s="1" t="str">
        <x:v>Ana Delos Reyes</x:v>
      </x:c>
      <x:c r="C71" s="1" t="str">
        <x:v>Entry</x:v>
      </x:c>
      <x:c r="D71" s="1" t="str">
        <x:v>Fast</x:v>
      </x:c>
      <x:c r="E71" s="1" t="str">
        <x:v>GRANTED</x:v>
      </x:c>
      <x:c r="F71" s="11" t="n">
        <x:v>11.8115</x:v>
      </x:c>
      <x:c r="G71" s="11" t="str">
        <x:v>N/A (Bypassed)</x:v>
      </x:c>
      <x:c r="H71" s="11" t="str">
        <x:v>N/A (Bypassed)</x:v>
      </x:c>
      <x:c r="I71" s="11" t="str">
        <x:v>N/A (Bypassed)</x:v>
      </x:c>
      <x:c r="J71" s="11" t="str">
        <x:v>N/A (Bypassed)</x:v>
      </x:c>
      <x:c r="K71" s="11" t="str">
        <x:v>N/A</x:v>
      </x:c>
      <x:c r="L71" s="11" t="n">
        <x:v>11.8115</x:v>
      </x:c>
      <x:c r="M71" s="11" t="n">
        <x:v>2.531</x:v>
      </x:c>
      <x:c r="N71" s="1" t="str">
        <x:v>6898be28591c4e1abe73f83f56b307e4</x:v>
      </x:c>
      <x:c r="O71" s="1" t="str">
        <x:v>Admin Office - 1</x:v>
      </x:c>
      <x:c r="P71" s="1" t="n">
        <x:v>1</x:v>
      </x:c>
      <x:c r="Q71" s="1" t="str">
        <x:v>fast_mode_logs</x:v>
      </x:c>
      <x:c r="R71" s="1" t="n">
        <x:v>66</x:v>
      </x:c>
      <x:c r="S71" s="1" t="str">
        <x:v>Successful entry</x:v>
      </x:c>
      <x:c r="T71" s="1" t="n">
        <x:v>1</x:v>
      </x:c>
      <x:c r="U71" s="5" t="str"/>
      <x:c r="V71" s="1" t="n">
        <x:v>1</x:v>
      </x:c>
      <x:c r="W71" s="1" t="n">
        <x:v>0</x:v>
      </x:c>
      <x:c r="X71" s="1" t="str">
        <x:v>GRANTED</x:v>
      </x:c>
      <x:c r="Y71" s="1" t="n">
        <x:f>IF(V71=1,IF(E71="GRANTED",IF(X71="GRANTED",1,0),IF(X71="DENIED",1,0)),0)</x:f>
        <x:v>1</x:v>
      </x:c>
    </x:row>
    <x:row r="72" ht="23" customHeight="1">
      <x:c r="A72" s="9" t="n">
        <x:v>46246.48135032407</x:v>
      </x:c>
      <x:c r="B72" s="1" t="str">
        <x:v>Maria Santos</x:v>
      </x:c>
      <x:c r="C72" s="1" t="str">
        <x:v>Entry</x:v>
      </x:c>
      <x:c r="D72" s="1" t="str">
        <x:v>Fast</x:v>
      </x:c>
      <x:c r="E72" s="1" t="str">
        <x:v>GRANTED</x:v>
      </x:c>
      <x:c r="F72" s="11" t="n">
        <x:v>10.7301</x:v>
      </x:c>
      <x:c r="G72" s="11" t="str">
        <x:v>N/A (Bypassed)</x:v>
      </x:c>
      <x:c r="H72" s="11" t="str">
        <x:v>N/A (Bypassed)</x:v>
      </x:c>
      <x:c r="I72" s="11" t="str">
        <x:v>N/A (Bypassed)</x:v>
      </x:c>
      <x:c r="J72" s="11" t="str">
        <x:v>N/A (Bypassed)</x:v>
      </x:c>
      <x:c r="K72" s="11" t="str">
        <x:v>N/A</x:v>
      </x:c>
      <x:c r="L72" s="11" t="n">
        <x:v>10.7301</x:v>
      </x:c>
      <x:c r="M72" s="11" t="n">
        <x:v>2.561</x:v>
      </x:c>
      <x:c r="N72" s="1" t="str">
        <x:v>6898be28591c4e1abe73f83f56b307e4</x:v>
      </x:c>
      <x:c r="O72" s="1" t="str">
        <x:v>Admin Office - 1</x:v>
      </x:c>
      <x:c r="P72" s="1" t="n">
        <x:v>1</x:v>
      </x:c>
      <x:c r="Q72" s="1" t="str">
        <x:v>fast_mode_logs</x:v>
      </x:c>
      <x:c r="R72" s="1" t="n">
        <x:v>67</x:v>
      </x:c>
      <x:c r="S72" s="1" t="str">
        <x:v>Successful entry</x:v>
      </x:c>
      <x:c r="T72" s="1" t="n">
        <x:v>1</x:v>
      </x:c>
      <x:c r="U72" s="5" t="str"/>
      <x:c r="V72" s="1" t="n">
        <x:v>1</x:v>
      </x:c>
      <x:c r="W72" s="1" t="n">
        <x:v>0</x:v>
      </x:c>
      <x:c r="X72" s="1" t="str">
        <x:v>GRANTED</x:v>
      </x:c>
      <x:c r="Y72" s="1" t="n">
        <x:f>IF(V72=1,IF(E72="GRANTED",IF(X72="GRANTED",1,0),IF(X72="DENIED",1,0)),0)</x:f>
        <x:v>1</x:v>
      </x:c>
    </x:row>
    <x:row r="73" ht="23" customHeight="1">
      <x:c r="A73" s="9" t="n">
        <x:v>46246.48132252315</x:v>
      </x:c>
      <x:c r="B73" s="1" t="str">
        <x:v>Maria Clara</x:v>
      </x:c>
      <x:c r="C73" s="1" t="str">
        <x:v>Entry</x:v>
      </x:c>
      <x:c r="D73" s="1" t="str">
        <x:v>Fast</x:v>
      </x:c>
      <x:c r="E73" s="1" t="str">
        <x:v>GRANTED</x:v>
      </x:c>
      <x:c r="F73" s="11" t="n">
        <x:v>9.8633</x:v>
      </x:c>
      <x:c r="G73" s="11" t="str">
        <x:v>N/A (Bypassed)</x:v>
      </x:c>
      <x:c r="H73" s="11" t="str">
        <x:v>N/A (Bypassed)</x:v>
      </x:c>
      <x:c r="I73" s="11" t="str">
        <x:v>N/A (Bypassed)</x:v>
      </x:c>
      <x:c r="J73" s="11" t="str">
        <x:v>N/A (Bypassed)</x:v>
      </x:c>
      <x:c r="K73" s="11" t="str">
        <x:v>N/A</x:v>
      </x:c>
      <x:c r="L73" s="11" t="n">
        <x:v>9.8633</x:v>
      </x:c>
      <x:c r="M73" s="11" t="n">
        <x:v>2.5089</x:v>
      </x:c>
      <x:c r="N73" s="1" t="str">
        <x:v>6898be28591c4e1abe73f83f56b307e4</x:v>
      </x:c>
      <x:c r="O73" s="1" t="str">
        <x:v>Admin Office - 1</x:v>
      </x:c>
      <x:c r="P73" s="1" t="n">
        <x:v>1</x:v>
      </x:c>
      <x:c r="Q73" s="1" t="str">
        <x:v>fast_mode_logs</x:v>
      </x:c>
      <x:c r="R73" s="1" t="n">
        <x:v>68</x:v>
      </x:c>
      <x:c r="S73" s="1" t="str">
        <x:v>Successful entry</x:v>
      </x:c>
      <x:c r="T73" s="1" t="n">
        <x:v>1</x:v>
      </x:c>
      <x:c r="U73" s="5" t="str"/>
      <x:c r="V73" s="1" t="n">
        <x:v>1</x:v>
      </x:c>
      <x:c r="W73" s="1" t="n">
        <x:v>0</x:v>
      </x:c>
      <x:c r="X73" s="1" t="str">
        <x:v>GRANTED</x:v>
      </x:c>
      <x:c r="Y73" s="1" t="n">
        <x:f>IF(V73=1,IF(E73="GRANTED",IF(X73="GRANTED",1,0),IF(X73="DENIED",1,0)),0)</x:f>
        <x:v>1</x:v>
      </x:c>
    </x:row>
    <x:row r="74" ht="23" customHeight="1">
      <x:c r="A74" s="9" t="n">
        <x:v>46246.48129387731</x:v>
      </x:c>
      <x:c r="B74" s="1" t="str">
        <x:v>Juana Dela Cruz</x:v>
      </x:c>
      <x:c r="C74" s="1" t="str">
        <x:v>Entry</x:v>
      </x:c>
      <x:c r="D74" s="1" t="str">
        <x:v>Fast</x:v>
      </x:c>
      <x:c r="E74" s="1" t="str">
        <x:v>GRANTED</x:v>
      </x:c>
      <x:c r="F74" s="11" t="n">
        <x:v>10.8217</x:v>
      </x:c>
      <x:c r="G74" s="11" t="str">
        <x:v>N/A (Bypassed)</x:v>
      </x:c>
      <x:c r="H74" s="11" t="str">
        <x:v>N/A (Bypassed)</x:v>
      </x:c>
      <x:c r="I74" s="11" t="str">
        <x:v>N/A (Bypassed)</x:v>
      </x:c>
      <x:c r="J74" s="11" t="str">
        <x:v>N/A (Bypassed)</x:v>
      </x:c>
      <x:c r="K74" s="11" t="str">
        <x:v>N/A</x:v>
      </x:c>
      <x:c r="L74" s="11" t="n">
        <x:v>10.8217</x:v>
      </x:c>
      <x:c r="M74" s="11" t="n">
        <x:v>2.6054</x:v>
      </x:c>
      <x:c r="N74" s="1" t="str">
        <x:v>6898be28591c4e1abe73f83f56b307e4</x:v>
      </x:c>
      <x:c r="O74" s="1" t="str">
        <x:v>Admin Office - 1</x:v>
      </x:c>
      <x:c r="P74" s="1" t="n">
        <x:v>1</x:v>
      </x:c>
      <x:c r="Q74" s="1" t="str">
        <x:v>fast_mode_logs</x:v>
      </x:c>
      <x:c r="R74" s="1" t="n">
        <x:v>69</x:v>
      </x:c>
      <x:c r="S74" s="1" t="str">
        <x:v>Successful entry</x:v>
      </x:c>
      <x:c r="T74" s="1" t="n">
        <x:v>1</x:v>
      </x:c>
      <x:c r="U74" s="5" t="str"/>
      <x:c r="V74" s="1" t="n">
        <x:v>1</x:v>
      </x:c>
      <x:c r="W74" s="1" t="n">
        <x:v>0</x:v>
      </x:c>
      <x:c r="X74" s="1" t="str">
        <x:v>GRANTED</x:v>
      </x:c>
      <x:c r="Y74" s="1" t="n">
        <x:f>IF(V74=1,IF(E74="GRANTED",IF(X74="GRANTED",1,0),IF(X74="DENIED",1,0)),0)</x:f>
        <x:v>1</x:v>
      </x:c>
    </x:row>
    <x:row r="75" ht="23" customHeight="1">
      <x:c r="A75" s="9" t="n">
        <x:v>46246.48126596065</x:v>
      </x:c>
      <x:c r="B75" s="1" t="str">
        <x:v>Maria Dela Cruz</x:v>
      </x:c>
      <x:c r="C75" s="1" t="str">
        <x:v>Entry</x:v>
      </x:c>
      <x:c r="D75" s="1" t="str">
        <x:v>Fast</x:v>
      </x:c>
      <x:c r="E75" s="1" t="str">
        <x:v>GRANTED</x:v>
      </x:c>
      <x:c r="F75" s="11" t="n">
        <x:v>10.5837</x:v>
      </x:c>
      <x:c r="G75" s="11" t="str">
        <x:v>N/A (Bypassed)</x:v>
      </x:c>
      <x:c r="H75" s="11" t="str">
        <x:v>N/A (Bypassed)</x:v>
      </x:c>
      <x:c r="I75" s="11" t="str">
        <x:v>N/A (Bypassed)</x:v>
      </x:c>
      <x:c r="J75" s="11" t="str">
        <x:v>N/A (Bypassed)</x:v>
      </x:c>
      <x:c r="K75" s="11" t="str">
        <x:v>N/A</x:v>
      </x:c>
      <x:c r="L75" s="11" t="n">
        <x:v>10.5837</x:v>
      </x:c>
      <x:c r="M75" s="11" t="n">
        <x:v>2.5198</x:v>
      </x:c>
      <x:c r="N75" s="1" t="str">
        <x:v>6898be28591c4e1abe73f83f56b307e4</x:v>
      </x:c>
      <x:c r="O75" s="1" t="str">
        <x:v>Admin Office - 1</x:v>
      </x:c>
      <x:c r="P75" s="1" t="n">
        <x:v>1</x:v>
      </x:c>
      <x:c r="Q75" s="1" t="str">
        <x:v>fast_mode_logs</x:v>
      </x:c>
      <x:c r="R75" s="1" t="n">
        <x:v>70</x:v>
      </x:c>
      <x:c r="S75" s="1" t="str">
        <x:v>Successful entry</x:v>
      </x:c>
      <x:c r="T75" s="1" t="n">
        <x:v>1</x:v>
      </x:c>
      <x:c r="U75" s="5" t="str"/>
      <x:c r="V75" s="1" t="n">
        <x:v>1</x:v>
      </x:c>
      <x:c r="W75" s="1" t="n">
        <x:v>0</x:v>
      </x:c>
      <x:c r="X75" s="1" t="str">
        <x:v>GRANTED</x:v>
      </x:c>
      <x:c r="Y75" s="1" t="n">
        <x:f>IF(V75=1,IF(E75="GRANTED",IF(X75="GRANTED",1,0),IF(X75="DENIED",1,0)),0)</x:f>
        <x:v>1</x:v>
      </x:c>
    </x:row>
    <x:row r="76" ht="23" customHeight="1">
      <x:c r="A76" s="9" t="n">
        <x:v>46246.48123943287</x:v>
      </x:c>
      <x:c r="B76" s="1" t="str">
        <x:v>Basilio Magbanua</x:v>
      </x:c>
      <x:c r="C76" s="1" t="str">
        <x:v>Entry</x:v>
      </x:c>
      <x:c r="D76" s="1" t="str">
        <x:v>Fast</x:v>
      </x:c>
      <x:c r="E76" s="1" t="str">
        <x:v>GRANTED</x:v>
      </x:c>
      <x:c r="F76" s="11" t="n">
        <x:v>11.4177</x:v>
      </x:c>
      <x:c r="G76" s="11" t="str">
        <x:v>N/A (Bypassed)</x:v>
      </x:c>
      <x:c r="H76" s="11" t="str">
        <x:v>N/A (Bypassed)</x:v>
      </x:c>
      <x:c r="I76" s="11" t="str">
        <x:v>N/A (Bypassed)</x:v>
      </x:c>
      <x:c r="J76" s="11" t="str">
        <x:v>N/A (Bypassed)</x:v>
      </x:c>
      <x:c r="K76" s="11" t="str">
        <x:v>N/A</x:v>
      </x:c>
      <x:c r="L76" s="11" t="n">
        <x:v>11.4177</x:v>
      </x:c>
      <x:c r="M76" s="11" t="n">
        <x:v>2.5021</x:v>
      </x:c>
      <x:c r="N76" s="1" t="str">
        <x:v>6898be28591c4e1abe73f83f56b307e4</x:v>
      </x:c>
      <x:c r="O76" s="1" t="str">
        <x:v>Admin Office - 1</x:v>
      </x:c>
      <x:c r="P76" s="1" t="n">
        <x:v>1</x:v>
      </x:c>
      <x:c r="Q76" s="1" t="str">
        <x:v>fast_mode_logs</x:v>
      </x:c>
      <x:c r="R76" s="1" t="n">
        <x:v>71</x:v>
      </x:c>
      <x:c r="S76" s="1" t="str">
        <x:v>Successful entry</x:v>
      </x:c>
      <x:c r="T76" s="1" t="n">
        <x:v>1</x:v>
      </x:c>
      <x:c r="U76" s="5" t="str"/>
      <x:c r="V76" s="1" t="n">
        <x:v>1</x:v>
      </x:c>
      <x:c r="W76" s="1" t="n">
        <x:v>0</x:v>
      </x:c>
      <x:c r="X76" s="1" t="str">
        <x:v>GRANTED</x:v>
      </x:c>
      <x:c r="Y76" s="1" t="n">
        <x:f>IF(V76=1,IF(E76="GRANTED",IF(X76="GRANTED",1,0),IF(X76="DENIED",1,0)),0)</x:f>
        <x:v>1</x:v>
      </x:c>
    </x:row>
    <x:row r="77" ht="23" customHeight="1">
      <x:c r="A77" s="9" t="n">
        <x:v>46246.48121099537</x:v>
      </x:c>
      <x:c r="B77" s="1" t="str">
        <x:v>Bayani Dela Rosa</x:v>
      </x:c>
      <x:c r="C77" s="1" t="str">
        <x:v>Entry</x:v>
      </x:c>
      <x:c r="D77" s="1" t="str">
        <x:v>Fast</x:v>
      </x:c>
      <x:c r="E77" s="1" t="str">
        <x:v>GRANTED</x:v>
      </x:c>
      <x:c r="F77" s="11" t="n">
        <x:v>11.0797</x:v>
      </x:c>
      <x:c r="G77" s="11" t="str">
        <x:v>N/A (Bypassed)</x:v>
      </x:c>
      <x:c r="H77" s="11" t="str">
        <x:v>N/A (Bypassed)</x:v>
      </x:c>
      <x:c r="I77" s="11" t="str">
        <x:v>N/A (Bypassed)</x:v>
      </x:c>
      <x:c r="J77" s="11" t="str">
        <x:v>N/A (Bypassed)</x:v>
      </x:c>
      <x:c r="K77" s="11" t="str">
        <x:v>N/A</x:v>
      </x:c>
      <x:c r="L77" s="11" t="n">
        <x:v>11.0797</x:v>
      </x:c>
      <x:c r="M77" s="11" t="n">
        <x:v>2.6766</x:v>
      </x:c>
      <x:c r="N77" s="1" t="str">
        <x:v>6898be28591c4e1abe73f83f56b307e4</x:v>
      </x:c>
      <x:c r="O77" s="1" t="str">
        <x:v>Admin Office - 1</x:v>
      </x:c>
      <x:c r="P77" s="1" t="n">
        <x:v>1</x:v>
      </x:c>
      <x:c r="Q77" s="1" t="str">
        <x:v>fast_mode_logs</x:v>
      </x:c>
      <x:c r="R77" s="1" t="n">
        <x:v>72</x:v>
      </x:c>
      <x:c r="S77" s="1" t="str">
        <x:v>Successful entry</x:v>
      </x:c>
      <x:c r="T77" s="1" t="n">
        <x:v>1</x:v>
      </x:c>
      <x:c r="U77" s="5" t="str"/>
      <x:c r="V77" s="1" t="n">
        <x:v>1</x:v>
      </x:c>
      <x:c r="W77" s="1" t="n">
        <x:v>0</x:v>
      </x:c>
      <x:c r="X77" s="1" t="str">
        <x:v>GRANTED</x:v>
      </x:c>
      <x:c r="Y77" s="1" t="n">
        <x:f>IF(V77=1,IF(E77="GRANTED",IF(X77="GRANTED",1,0),IF(X77="DENIED",1,0)),0)</x:f>
        <x:v>1</x:v>
      </x:c>
    </x:row>
    <x:row r="78" ht="23" customHeight="1">
      <x:c r="A78" s="9" t="n">
        <x:v>46246.4811815625</x:v>
      </x:c>
      <x:c r="B78" s="1" t="str">
        <x:v>Jose Mari Bautista</x:v>
      </x:c>
      <x:c r="C78" s="1" t="str">
        <x:v>Entry</x:v>
      </x:c>
      <x:c r="D78" s="1" t="str">
        <x:v>Fast</x:v>
      </x:c>
      <x:c r="E78" s="1" t="str">
        <x:v>GRANTED</x:v>
      </x:c>
      <x:c r="F78" s="11" t="n">
        <x:v>9.6627</x:v>
      </x:c>
      <x:c r="G78" s="11" t="str">
        <x:v>N/A (Bypassed)</x:v>
      </x:c>
      <x:c r="H78" s="11" t="str">
        <x:v>N/A (Bypassed)</x:v>
      </x:c>
      <x:c r="I78" s="11" t="str">
        <x:v>N/A (Bypassed)</x:v>
      </x:c>
      <x:c r="J78" s="11" t="str">
        <x:v>N/A (Bypassed)</x:v>
      </x:c>
      <x:c r="K78" s="11" t="str">
        <x:v>N/A</x:v>
      </x:c>
      <x:c r="L78" s="11" t="n">
        <x:v>9.6627</x:v>
      </x:c>
      <x:c r="M78" s="11" t="n">
        <x:v>2.5059</x:v>
      </x:c>
      <x:c r="N78" s="1" t="str">
        <x:v>6898be28591c4e1abe73f83f56b307e4</x:v>
      </x:c>
      <x:c r="O78" s="1" t="str">
        <x:v>Admin Office - 1</x:v>
      </x:c>
      <x:c r="P78" s="1" t="n">
        <x:v>1</x:v>
      </x:c>
      <x:c r="Q78" s="1" t="str">
        <x:v>fast_mode_logs</x:v>
      </x:c>
      <x:c r="R78" s="1" t="n">
        <x:v>73</x:v>
      </x:c>
      <x:c r="S78" s="1" t="str">
        <x:v>Successful entry</x:v>
      </x:c>
      <x:c r="T78" s="1" t="n">
        <x:v>1</x:v>
      </x:c>
      <x:c r="U78" s="5" t="str"/>
      <x:c r="V78" s="1" t="n">
        <x:v>1</x:v>
      </x:c>
      <x:c r="W78" s="1" t="n">
        <x:v>0</x:v>
      </x:c>
      <x:c r="X78" s="1" t="str">
        <x:v>GRANTED</x:v>
      </x:c>
      <x:c r="Y78" s="1" t="n">
        <x:f>IF(V78=1,IF(E78="GRANTED",IF(X78="GRANTED",1,0),IF(X78="DENIED",1,0)),0)</x:f>
        <x:v>1</x:v>
      </x:c>
    </x:row>
    <x:row r="79" ht="23" customHeight="1">
      <x:c r="A79" s="9" t="n">
        <x:v>46246.48115248843</x:v>
      </x:c>
      <x:c r="B79" s="1" t="str">
        <x:v>Angelito Fernandez</x:v>
      </x:c>
      <x:c r="C79" s="1" t="str">
        <x:v>Entry</x:v>
      </x:c>
      <x:c r="D79" s="1" t="str">
        <x:v>Fast</x:v>
      </x:c>
      <x:c r="E79" s="1" t="str">
        <x:v>GRANTED</x:v>
      </x:c>
      <x:c r="F79" s="11" t="n">
        <x:v>10.7219</x:v>
      </x:c>
      <x:c r="G79" s="11" t="str">
        <x:v>N/A (Bypassed)</x:v>
      </x:c>
      <x:c r="H79" s="11" t="str">
        <x:v>N/A (Bypassed)</x:v>
      </x:c>
      <x:c r="I79" s="11" t="str">
        <x:v>N/A (Bypassed)</x:v>
      </x:c>
      <x:c r="J79" s="11" t="str">
        <x:v>N/A (Bypassed)</x:v>
      </x:c>
      <x:c r="K79" s="11" t="str">
        <x:v>N/A</x:v>
      </x:c>
      <x:c r="L79" s="11" t="n">
        <x:v>10.7219</x:v>
      </x:c>
      <x:c r="M79" s="11" t="n">
        <x:v>2.5023</x:v>
      </x:c>
      <x:c r="N79" s="1" t="str">
        <x:v>6898be28591c4e1abe73f83f56b307e4</x:v>
      </x:c>
      <x:c r="O79" s="1" t="str">
        <x:v>Admin Office - 1</x:v>
      </x:c>
      <x:c r="P79" s="1" t="n">
        <x:v>1</x:v>
      </x:c>
      <x:c r="Q79" s="1" t="str">
        <x:v>fast_mode_logs</x:v>
      </x:c>
      <x:c r="R79" s="1" t="n">
        <x:v>74</x:v>
      </x:c>
      <x:c r="S79" s="1" t="str">
        <x:v>Successful entry</x:v>
      </x:c>
      <x:c r="T79" s="1" t="n">
        <x:v>1</x:v>
      </x:c>
      <x:c r="U79" s="5" t="str"/>
      <x:c r="V79" s="1" t="n">
        <x:v>1</x:v>
      </x:c>
      <x:c r="W79" s="1" t="n">
        <x:v>0</x:v>
      </x:c>
      <x:c r="X79" s="1" t="str">
        <x:v>GRANTED</x:v>
      </x:c>
      <x:c r="Y79" s="1" t="n">
        <x:f>IF(V79=1,IF(E79="GRANTED",IF(X79="GRANTED",1,0),IF(X79="DENIED",1,0)),0)</x:f>
        <x:v>1</x:v>
      </x:c>
    </x:row>
    <x:row r="80" ht="23" customHeight="1">
      <x:c r="A80" s="9" t="n">
        <x:v>46246.48112408565</x:v>
      </x:c>
      <x:c r="B80" s="1" t="str">
        <x:v>Roberto Ramos</x:v>
      </x:c>
      <x:c r="C80" s="1" t="str">
        <x:v>Entry</x:v>
      </x:c>
      <x:c r="D80" s="1" t="str">
        <x:v>Fast</x:v>
      </x:c>
      <x:c r="E80" s="1" t="str">
        <x:v>GRANTED</x:v>
      </x:c>
      <x:c r="F80" s="11" t="n">
        <x:v>12.7967</x:v>
      </x:c>
      <x:c r="G80" s="11" t="str">
        <x:v>N/A (Bypassed)</x:v>
      </x:c>
      <x:c r="H80" s="11" t="str">
        <x:v>N/A (Bypassed)</x:v>
      </x:c>
      <x:c r="I80" s="11" t="str">
        <x:v>N/A (Bypassed)</x:v>
      </x:c>
      <x:c r="J80" s="11" t="str">
        <x:v>N/A (Bypassed)</x:v>
      </x:c>
      <x:c r="K80" s="11" t="str">
        <x:v>N/A</x:v>
      </x:c>
      <x:c r="L80" s="11" t="n">
        <x:v>12.7967</x:v>
      </x:c>
      <x:c r="M80" s="11" t="n">
        <x:v>2.5718</x:v>
      </x:c>
      <x:c r="N80" s="1" t="str">
        <x:v>6898be28591c4e1abe73f83f56b307e4</x:v>
      </x:c>
      <x:c r="O80" s="1" t="str">
        <x:v>Admin Office - 1</x:v>
      </x:c>
      <x:c r="P80" s="1" t="n">
        <x:v>1</x:v>
      </x:c>
      <x:c r="Q80" s="1" t="str">
        <x:v>fast_mode_logs</x:v>
      </x:c>
      <x:c r="R80" s="1" t="n">
        <x:v>75</x:v>
      </x:c>
      <x:c r="S80" s="1" t="str">
        <x:v>Successful entry</x:v>
      </x:c>
      <x:c r="T80" s="1" t="n">
        <x:v>1</x:v>
      </x:c>
      <x:c r="U80" s="5" t="str"/>
      <x:c r="V80" s="1" t="n">
        <x:v>1</x:v>
      </x:c>
      <x:c r="W80" s="1" t="n">
        <x:v>0</x:v>
      </x:c>
      <x:c r="X80" s="1" t="str">
        <x:v>GRANTED</x:v>
      </x:c>
      <x:c r="Y80" s="1" t="n">
        <x:f>IF(V80=1,IF(E80="GRANTED",IF(X80="GRANTED",1,0),IF(X80="DENIED",1,0)),0)</x:f>
        <x:v>1</x:v>
      </x:c>
    </x:row>
    <x:row r="81" ht="23" customHeight="1">
      <x:c r="A81" s="9" t="n">
        <x:v>46246.481094780094</x:v>
      </x:c>
      <x:c r="B81" s="1" t="str">
        <x:v>Juanito Delos Santos</x:v>
      </x:c>
      <x:c r="C81" s="1" t="str">
        <x:v>Entry</x:v>
      </x:c>
      <x:c r="D81" s="1" t="str">
        <x:v>Fast</x:v>
      </x:c>
      <x:c r="E81" s="1" t="str">
        <x:v>GRANTED</x:v>
      </x:c>
      <x:c r="F81" s="11" t="n">
        <x:v>13.0152</x:v>
      </x:c>
      <x:c r="G81" s="11" t="str">
        <x:v>N/A (Bypassed)</x:v>
      </x:c>
      <x:c r="H81" s="11" t="str">
        <x:v>N/A (Bypassed)</x:v>
      </x:c>
      <x:c r="I81" s="11" t="str">
        <x:v>N/A (Bypassed)</x:v>
      </x:c>
      <x:c r="J81" s="11" t="str">
        <x:v>N/A (Bypassed)</x:v>
      </x:c>
      <x:c r="K81" s="11" t="str">
        <x:v>N/A</x:v>
      </x:c>
      <x:c r="L81" s="11" t="n">
        <x:v>13.0152</x:v>
      </x:c>
      <x:c r="M81" s="11" t="n">
        <x:v>4.7431</x:v>
      </x:c>
      <x:c r="N81" s="1" t="str">
        <x:v>6898be28591c4e1abe73f83f56b307e4</x:v>
      </x:c>
      <x:c r="O81" s="1" t="str">
        <x:v>Admin Office - 1</x:v>
      </x:c>
      <x:c r="P81" s="1" t="n">
        <x:v>1</x:v>
      </x:c>
      <x:c r="Q81" s="1" t="str">
        <x:v>fast_mode_logs</x:v>
      </x:c>
      <x:c r="R81" s="1" t="n">
        <x:v>76</x:v>
      </x:c>
      <x:c r="S81" s="1" t="str">
        <x:v>Successful entry</x:v>
      </x:c>
      <x:c r="T81" s="1" t="n">
        <x:v>1</x:v>
      </x:c>
      <x:c r="U81" s="5" t="str"/>
      <x:c r="V81" s="1" t="n">
        <x:v>1</x:v>
      </x:c>
      <x:c r="W81" s="1" t="n">
        <x:v>0</x:v>
      </x:c>
      <x:c r="X81" s="1" t="str">
        <x:v>GRANTED</x:v>
      </x:c>
      <x:c r="Y81" s="1" t="n">
        <x:f>IF(V81=1,IF(E81="GRANTED",IF(X81="GRANTED",1,0),IF(X81="DENIED",1,0)),0)</x:f>
        <x:v>1</x:v>
      </x:c>
    </x:row>
    <x:row r="82" ht="23" customHeight="1">
      <x:c r="A82" s="9" t="n">
        <x:v>46246.481064189815</x:v>
      </x:c>
      <x:c r="B82" s="1" t="str">
        <x:v>[TEMP] Manuel Mendoza</x:v>
      </x:c>
      <x:c r="C82" s="1" t="str">
        <x:v>Entry</x:v>
      </x:c>
      <x:c r="D82" s="1" t="str">
        <x:v>Fast</x:v>
      </x:c>
      <x:c r="E82" s="1" t="str">
        <x:v>GRANTED</x:v>
      </x:c>
      <x:c r="F82" s="11" t="n">
        <x:v>12.7207</x:v>
      </x:c>
      <x:c r="G82" s="11" t="str">
        <x:v>N/A (Bypassed)</x:v>
      </x:c>
      <x:c r="H82" s="11" t="str">
        <x:v>N/A (Bypassed)</x:v>
      </x:c>
      <x:c r="I82" s="11" t="str">
        <x:v>N/A (Bypassed)</x:v>
      </x:c>
      <x:c r="J82" s="11" t="str">
        <x:v>N/A (Bypassed)</x:v>
      </x:c>
      <x:c r="K82" s="11" t="str">
        <x:v>N/A</x:v>
      </x:c>
      <x:c r="L82" s="11" t="n">
        <x:v>12.7207</x:v>
      </x:c>
      <x:c r="M82" s="11" t="n">
        <x:v>3.0919</x:v>
      </x:c>
      <x:c r="N82" s="1" t="str">
        <x:v>6898be28591c4e1abe73f83f56b307e4</x:v>
      </x:c>
      <x:c r="O82" s="1" t="str">
        <x:v>Admin Office - 1</x:v>
      </x:c>
      <x:c r="P82" s="1" t="n">
        <x:v>1</x:v>
      </x:c>
      <x:c r="Q82" s="1" t="str">
        <x:v>fast_mode_logs</x:v>
      </x:c>
      <x:c r="R82" s="1" t="n">
        <x:v>77</x:v>
      </x:c>
      <x:c r="S82" s="1" t="str">
        <x:v>Successful entry</x:v>
      </x:c>
      <x:c r="T82" s="1" t="n">
        <x:v>1</x:v>
      </x:c>
      <x:c r="U82" s="5" t="str"/>
      <x:c r="V82" s="1" t="n">
        <x:v>1</x:v>
      </x:c>
      <x:c r="W82" s="1" t="n">
        <x:v>0</x:v>
      </x:c>
      <x:c r="X82" s="1" t="str">
        <x:v>GRANTED</x:v>
      </x:c>
      <x:c r="Y82" s="1" t="n">
        <x:f>IF(V82=1,IF(E82="GRANTED",IF(X82="GRANTED",1,0),IF(X82="DENIED",1,0)),0)</x:f>
        <x:v>1</x:v>
      </x:c>
    </x:row>
    <x:row r="83" ht="23" customHeight="1">
      <x:c r="A83" s="9" t="n">
        <x:v>46246.48102331019</x:v>
      </x:c>
      <x:c r="B83" s="1" t="str">
        <x:v>Francisco Garcia</x:v>
      </x:c>
      <x:c r="C83" s="1" t="str">
        <x:v>Entry</x:v>
      </x:c>
      <x:c r="D83" s="1" t="str">
        <x:v>Fast</x:v>
      </x:c>
      <x:c r="E83" s="1" t="str">
        <x:v>GRANTED</x:v>
      </x:c>
      <x:c r="F83" s="11" t="n">
        <x:v>11.8968</x:v>
      </x:c>
      <x:c r="G83" s="11" t="str">
        <x:v>N/A (Bypassed)</x:v>
      </x:c>
      <x:c r="H83" s="11" t="str">
        <x:v>N/A (Bypassed)</x:v>
      </x:c>
      <x:c r="I83" s="11" t="str">
        <x:v>N/A (Bypassed)</x:v>
      </x:c>
      <x:c r="J83" s="11" t="str">
        <x:v>N/A (Bypassed)</x:v>
      </x:c>
      <x:c r="K83" s="11" t="str">
        <x:v>N/A</x:v>
      </x:c>
      <x:c r="L83" s="11" t="n">
        <x:v>11.8968</x:v>
      </x:c>
      <x:c r="M83" s="11" t="n">
        <x:v>2.7826</x:v>
      </x:c>
      <x:c r="N83" s="1" t="str">
        <x:v>6898be28591c4e1abe73f83f56b307e4</x:v>
      </x:c>
      <x:c r="O83" s="1" t="str">
        <x:v>Admin Office - 1</x:v>
      </x:c>
      <x:c r="P83" s="1" t="n">
        <x:v>1</x:v>
      </x:c>
      <x:c r="Q83" s="1" t="str">
        <x:v>fast_mode_logs</x:v>
      </x:c>
      <x:c r="R83" s="1" t="n">
        <x:v>78</x:v>
      </x:c>
      <x:c r="S83" s="1" t="str">
        <x:v>Successful entry</x:v>
      </x:c>
      <x:c r="T83" s="1" t="n">
        <x:v>1</x:v>
      </x:c>
      <x:c r="U83" s="5" t="str"/>
      <x:c r="V83" s="1" t="n">
        <x:v>1</x:v>
      </x:c>
      <x:c r="W83" s="1" t="n">
        <x:v>0</x:v>
      </x:c>
      <x:c r="X83" s="1" t="str">
        <x:v>GRANTED</x:v>
      </x:c>
      <x:c r="Y83" s="1" t="n">
        <x:f>IF(V83=1,IF(E83="GRANTED",IF(X83="GRANTED",1,0),IF(X83="DENIED",1,0)),0)</x:f>
        <x:v>1</x:v>
      </x:c>
    </x:row>
    <x:row r="84" ht="23" customHeight="1">
      <x:c r="A84" s="9" t="n">
        <x:v>46246.48098787037</x:v>
      </x:c>
      <x:c r="B84" s="1" t="str">
        <x:v>[TEMP] Pedro Reyes</x:v>
      </x:c>
      <x:c r="C84" s="1" t="str">
        <x:v>Entry</x:v>
      </x:c>
      <x:c r="D84" s="1" t="str">
        <x:v>Fast</x:v>
      </x:c>
      <x:c r="E84" s="1" t="str">
        <x:v>GRANTED</x:v>
      </x:c>
      <x:c r="F84" s="11" t="n">
        <x:v>10.2547</x:v>
      </x:c>
      <x:c r="G84" s="11" t="str">
        <x:v>N/A (Bypassed)</x:v>
      </x:c>
      <x:c r="H84" s="11" t="str">
        <x:v>N/A (Bypassed)</x:v>
      </x:c>
      <x:c r="I84" s="11" t="str">
        <x:v>N/A (Bypassed)</x:v>
      </x:c>
      <x:c r="J84" s="11" t="str">
        <x:v>N/A (Bypassed)</x:v>
      </x:c>
      <x:c r="K84" s="11" t="str">
        <x:v>N/A</x:v>
      </x:c>
      <x:c r="L84" s="11" t="n">
        <x:v>10.2547</x:v>
      </x:c>
      <x:c r="M84" s="11" t="n">
        <x:v>2.7963</x:v>
      </x:c>
      <x:c r="N84" s="1" t="str">
        <x:v>6898be28591c4e1abe73f83f56b307e4</x:v>
      </x:c>
      <x:c r="O84" s="1" t="str">
        <x:v>Admin Office - 1</x:v>
      </x:c>
      <x:c r="P84" s="1" t="n">
        <x:v>1</x:v>
      </x:c>
      <x:c r="Q84" s="1" t="str">
        <x:v>fast_mode_logs</x:v>
      </x:c>
      <x:c r="R84" s="1" t="n">
        <x:v>79</x:v>
      </x:c>
      <x:c r="S84" s="1" t="str">
        <x:v>Successful entry</x:v>
      </x:c>
      <x:c r="T84" s="1" t="n">
        <x:v>1</x:v>
      </x:c>
      <x:c r="U84" s="5" t="str"/>
      <x:c r="V84" s="1" t="n">
        <x:v>1</x:v>
      </x:c>
      <x:c r="W84" s="1" t="n">
        <x:v>0</x:v>
      </x:c>
      <x:c r="X84" s="1" t="str">
        <x:v>GRANTED</x:v>
      </x:c>
      <x:c r="Y84" s="1" t="n">
        <x:f>IF(V84=1,IF(E84="GRANTED",IF(X84="GRANTED",1,0),IF(X84="DENIED",1,0)),0)</x:f>
        <x:v>1</x:v>
      </x:c>
    </x:row>
    <x:row r="85" ht="23" customHeight="1">
      <x:c r="A85" s="9" t="n">
        <x:v>46246.48095488426</x:v>
      </x:c>
      <x:c r="B85" s="1" t="str">
        <x:v>[TEMP] Jose Santos</x:v>
      </x:c>
      <x:c r="C85" s="1" t="str">
        <x:v>Entry</x:v>
      </x:c>
      <x:c r="D85" s="1" t="str">
        <x:v>Fast</x:v>
      </x:c>
      <x:c r="E85" s="1" t="str">
        <x:v>GRANTED</x:v>
      </x:c>
      <x:c r="F85" s="11" t="n">
        <x:v>12.5342</x:v>
      </x:c>
      <x:c r="G85" s="11" t="str">
        <x:v>N/A (Bypassed)</x:v>
      </x:c>
      <x:c r="H85" s="11" t="str">
        <x:v>N/A (Bypassed)</x:v>
      </x:c>
      <x:c r="I85" s="11" t="str">
        <x:v>N/A (Bypassed)</x:v>
      </x:c>
      <x:c r="J85" s="11" t="str">
        <x:v>N/A (Bypassed)</x:v>
      </x:c>
      <x:c r="K85" s="11" t="str">
        <x:v>N/A</x:v>
      </x:c>
      <x:c r="L85" s="11" t="n">
        <x:v>12.5342</x:v>
      </x:c>
      <x:c r="M85" s="11" t="n">
        <x:v>4.6818</x:v>
      </x:c>
      <x:c r="N85" s="1" t="str">
        <x:v>6898be28591c4e1abe73f83f56b307e4</x:v>
      </x:c>
      <x:c r="O85" s="1" t="str">
        <x:v>Admin Office - 1</x:v>
      </x:c>
      <x:c r="P85" s="1" t="n">
        <x:v>1</x:v>
      </x:c>
      <x:c r="Q85" s="1" t="str">
        <x:v>fast_mode_logs</x:v>
      </x:c>
      <x:c r="R85" s="1" t="n">
        <x:v>80</x:v>
      </x:c>
      <x:c r="S85" s="1" t="str">
        <x:v>Successful entry</x:v>
      </x:c>
      <x:c r="T85" s="1" t="n">
        <x:v>1</x:v>
      </x:c>
      <x:c r="U85" s="5" t="str"/>
      <x:c r="V85" s="1" t="n">
        <x:v>1</x:v>
      </x:c>
      <x:c r="W85" s="1" t="n">
        <x:v>0</x:v>
      </x:c>
      <x:c r="X85" s="1" t="str">
        <x:v>GRANTED</x:v>
      </x:c>
      <x:c r="Y85" s="1" t="n">
        <x:f>IF(V85=1,IF(E85="GRANTED",IF(X85="GRANTED",1,0),IF(X85="DENIED",1,0)),0)</x:f>
        <x:v>1</x:v>
      </x:c>
    </x:row>
    <x:row r="86" ht="23" customHeight="1">
      <x:c r="A86" s="9" t="n">
        <x:v>46246.48092163194</x:v>
      </x:c>
      <x:c r="B86" s="1" t="str">
        <x:v>[TEMP] Juan Dela Cruz</x:v>
      </x:c>
      <x:c r="C86" s="1" t="str">
        <x:v>Entry</x:v>
      </x:c>
      <x:c r="D86" s="1" t="str">
        <x:v>Fast</x:v>
      </x:c>
      <x:c r="E86" s="1" t="str">
        <x:v>GRANTED</x:v>
      </x:c>
      <x:c r="F86" s="11" t="n">
        <x:v>26.3563</x:v>
      </x:c>
      <x:c r="G86" s="11" t="str">
        <x:v>N/A (Bypassed)</x:v>
      </x:c>
      <x:c r="H86" s="11" t="str">
        <x:v>N/A (Bypassed)</x:v>
      </x:c>
      <x:c r="I86" s="11" t="str">
        <x:v>N/A (Bypassed)</x:v>
      </x:c>
      <x:c r="J86" s="11" t="str">
        <x:v>N/A (Bypassed)</x:v>
      </x:c>
      <x:c r="K86" s="11" t="str">
        <x:v>N/A</x:v>
      </x:c>
      <x:c r="L86" s="11" t="n">
        <x:v>26.3563</x:v>
      </x:c>
      <x:c r="M86" s="11" t="n">
        <x:v>2.4521</x:v>
      </x:c>
      <x:c r="N86" s="1" t="str">
        <x:v>6898be28591c4e1abe73f83f56b307e4</x:v>
      </x:c>
      <x:c r="O86" s="1" t="str">
        <x:v>Admin Office - 1</x:v>
      </x:c>
      <x:c r="P86" s="1" t="n">
        <x:v>1</x:v>
      </x:c>
      <x:c r="Q86" s="1" t="str">
        <x:v>fast_mode_logs</x:v>
      </x:c>
      <x:c r="R86" s="1" t="n">
        <x:v>81</x:v>
      </x:c>
      <x:c r="S86" s="1" t="str">
        <x:v>Successful entry</x:v>
      </x:c>
      <x:c r="T86" s="1" t="n">
        <x:v>1</x:v>
      </x:c>
      <x:c r="U86" s="5" t="str"/>
      <x:c r="V86" s="1" t="n">
        <x:v>1</x:v>
      </x:c>
      <x:c r="W86" s="1" t="n">
        <x:v>0</x:v>
      </x:c>
      <x:c r="X86" s="1" t="str">
        <x:v>GRANTED</x:v>
      </x:c>
      <x:c r="Y86" s="1" t="n">
        <x:f>IF(V86=1,IF(E86="GRANTED",IF(X86="GRANTED",1,0),IF(X86="DENIED",1,0)),0)</x:f>
        <x:v>1</x:v>
      </x:c>
    </x:row>
    <x:row r="87" ht="23" customHeight="1">
      <x:c r="A87" s="9" t="n">
        <x:v>46246.49014592593</x:v>
      </x:c>
      <x:c r="B87" s="1" t="str">
        <x:v>Pedro Penduko</x:v>
      </x:c>
      <x:c r="C87" s="1" t="str">
        <x:v>Exit</x:v>
      </x:c>
      <x:c r="D87" s="1" t="str">
        <x:v>Standard</x:v>
      </x:c>
      <x:c r="E87" s="1" t="str">
        <x:v>GRANTED</x:v>
      </x:c>
      <x:c r="F87" s="11" t="n">
        <x:v>12.5703</x:v>
      </x:c>
      <x:c r="G87" s="11" t="str">
        <x:v>N/A (Bypassed)</x:v>
      </x:c>
      <x:c r="H87" s="11" t="str">
        <x:v>N/A (Bypassed)</x:v>
      </x:c>
      <x:c r="I87" s="11" t="str">
        <x:v>N/A (Bypassed)</x:v>
      </x:c>
      <x:c r="J87" s="11" t="str">
        <x:v>N/A (Bypassed)</x:v>
      </x:c>
      <x:c r="K87" s="11" t="str">
        <x:v>N/A</x:v>
      </x:c>
      <x:c r="L87" s="11" t="n">
        <x:v>12.5703</x:v>
      </x:c>
      <x:c r="M87" s="11" t="n">
        <x:v>4.3242</x:v>
      </x:c>
      <x:c r="N87" s="1" t="str">
        <x:v>6898be28591c4e1abe73f83f56b307e4</x:v>
      </x:c>
      <x:c r="O87" s="1" t="str">
        <x:v>Admin Office - 1</x:v>
      </x:c>
      <x:c r="P87" s="1" t="n">
        <x:v>1</x:v>
      </x:c>
      <x:c r="Q87" s="1" t="str">
        <x:v>standard_mode_logs</x:v>
      </x:c>
      <x:c r="R87" s="1" t="n">
        <x:v>2</x:v>
      </x:c>
      <x:c r="S87" s="1" t="str">
        <x:v>Reset exit</x:v>
      </x:c>
      <x:c r="T87" s="1"/>
      <x:c r="U87" s="5" t="str"/>
      <x:c r="V87" s="1" t="n">
        <x:v>0</x:v>
      </x:c>
      <x:c r="W87" s="1" t="n">
        <x:v>0</x:v>
      </x:c>
      <x:c r="X87" s="1" t="str">
        <x:v>Not applicable</x:v>
      </x:c>
      <x:c r="Y87" s="1" t="n">
        <x:f>IF(V87=1,IF(E87="GRANTED",IF(X87="GRANTED",1,0),IF(X87="DENIED",1,0)),0)</x:f>
        <x:v>0</x:v>
      </x:c>
    </x:row>
    <x:row r="88" ht="23" customHeight="1">
      <x:c r="A88" s="9" t="n">
        <x:v>46246.49012030092</x:v>
      </x:c>
      <x:c r="B88" s="1" t="str">
        <x:v>Juan Tamad</x:v>
      </x:c>
      <x:c r="C88" s="1" t="str">
        <x:v>Exit</x:v>
      </x:c>
      <x:c r="D88" s="1" t="str">
        <x:v>Standard</x:v>
      </x:c>
      <x:c r="E88" s="1" t="str">
        <x:v>GRANTED</x:v>
      </x:c>
      <x:c r="F88" s="11" t="n">
        <x:v>10.9705</x:v>
      </x:c>
      <x:c r="G88" s="11" t="str">
        <x:v>N/A (Bypassed)</x:v>
      </x:c>
      <x:c r="H88" s="11" t="str">
        <x:v>N/A (Bypassed)</x:v>
      </x:c>
      <x:c r="I88" s="11" t="str">
        <x:v>N/A (Bypassed)</x:v>
      </x:c>
      <x:c r="J88" s="11" t="str">
        <x:v>N/A (Bypassed)</x:v>
      </x:c>
      <x:c r="K88" s="11" t="str">
        <x:v>N/A</x:v>
      </x:c>
      <x:c r="L88" s="11" t="n">
        <x:v>10.9705</x:v>
      </x:c>
      <x:c r="M88" s="11" t="n">
        <x:v>3.121</x:v>
      </x:c>
      <x:c r="N88" s="1" t="str">
        <x:v>6898be28591c4e1abe73f83f56b307e4</x:v>
      </x:c>
      <x:c r="O88" s="1" t="str">
        <x:v>Admin Office - 1</x:v>
      </x:c>
      <x:c r="P88" s="1" t="n">
        <x:v>1</x:v>
      </x:c>
      <x:c r="Q88" s="1" t="str">
        <x:v>standard_mode_logs</x:v>
      </x:c>
      <x:c r="R88" s="1" t="n">
        <x:v>3</x:v>
      </x:c>
      <x:c r="S88" s="1" t="str">
        <x:v>Reset exit</x:v>
      </x:c>
      <x:c r="T88" s="1"/>
      <x:c r="U88" s="5" t="str"/>
      <x:c r="V88" s="1" t="n">
        <x:v>0</x:v>
      </x:c>
      <x:c r="W88" s="1" t="n">
        <x:v>0</x:v>
      </x:c>
      <x:c r="X88" s="1" t="str">
        <x:v>Not applicable</x:v>
      </x:c>
      <x:c r="Y88" s="1" t="n">
        <x:f>IF(V88=1,IF(E88="GRANTED",IF(X88="GRANTED",1,0),IF(X88="DENIED",1,0)),0)</x:f>
        <x:v>0</x:v>
      </x:c>
    </x:row>
    <x:row r="89" ht="23" customHeight="1">
      <x:c r="A89" s="9" t="n">
        <x:v>46246.49009438657</x:v>
      </x:c>
      <x:c r="B89" s="1" t="str">
        <x:v>Luningning Santos</x:v>
      </x:c>
      <x:c r="C89" s="1" t="str">
        <x:v>Exit</x:v>
      </x:c>
      <x:c r="D89" s="1" t="str">
        <x:v>Standard</x:v>
      </x:c>
      <x:c r="E89" s="1" t="str">
        <x:v>GRANTED</x:v>
      </x:c>
      <x:c r="F89" s="11" t="n">
        <x:v>9.7011</x:v>
      </x:c>
      <x:c r="G89" s="11" t="str">
        <x:v>N/A (Bypassed)</x:v>
      </x:c>
      <x:c r="H89" s="11" t="str">
        <x:v>N/A (Bypassed)</x:v>
      </x:c>
      <x:c r="I89" s="11" t="str">
        <x:v>N/A (Bypassed)</x:v>
      </x:c>
      <x:c r="J89" s="11" t="str">
        <x:v>N/A (Bypassed)</x:v>
      </x:c>
      <x:c r="K89" s="11" t="str">
        <x:v>N/A</x:v>
      </x:c>
      <x:c r="L89" s="11" t="n">
        <x:v>9.7011</x:v>
      </x:c>
      <x:c r="M89" s="11" t="n">
        <x:v>2.6802</x:v>
      </x:c>
      <x:c r="N89" s="1" t="str">
        <x:v>6898be28591c4e1abe73f83f56b307e4</x:v>
      </x:c>
      <x:c r="O89" s="1" t="str">
        <x:v>Admin Office - 1</x:v>
      </x:c>
      <x:c r="P89" s="1" t="n">
        <x:v>1</x:v>
      </x:c>
      <x:c r="Q89" s="1" t="str">
        <x:v>standard_mode_logs</x:v>
      </x:c>
      <x:c r="R89" s="1" t="n">
        <x:v>4</x:v>
      </x:c>
      <x:c r="S89" s="1" t="str">
        <x:v>Reset exit</x:v>
      </x:c>
      <x:c r="T89" s="1"/>
      <x:c r="U89" s="5" t="str"/>
      <x:c r="V89" s="1" t="n">
        <x:v>0</x:v>
      </x:c>
      <x:c r="W89" s="1" t="n">
        <x:v>0</x:v>
      </x:c>
      <x:c r="X89" s="1" t="str">
        <x:v>Not applicable</x:v>
      </x:c>
      <x:c r="Y89" s="1" t="n">
        <x:f>IF(V89=1,IF(E89="GRANTED",IF(X89="GRANTED",1,0),IF(X89="DENIED",1,0)),0)</x:f>
        <x:v>0</x:v>
      </x:c>
    </x:row>
    <x:row r="90" ht="23" customHeight="1">
      <x:c r="A90" s="9" t="n">
        <x:v>46246.490071493055</x:v>
      </x:c>
      <x:c r="B90" s="1" t="str">
        <x:v>Teresita Gonzales</x:v>
      </x:c>
      <x:c r="C90" s="1" t="str">
        <x:v>Exit</x:v>
      </x:c>
      <x:c r="D90" s="1" t="str">
        <x:v>Standard</x:v>
      </x:c>
      <x:c r="E90" s="1" t="str">
        <x:v>GRANTED</x:v>
      </x:c>
      <x:c r="F90" s="11" t="n">
        <x:v>47.6038</x:v>
      </x:c>
      <x:c r="G90" s="11" t="str">
        <x:v>N/A (Bypassed)</x:v>
      </x:c>
      <x:c r="H90" s="11" t="str">
        <x:v>N/A (Bypassed)</x:v>
      </x:c>
      <x:c r="I90" s="11" t="str">
        <x:v>N/A (Bypassed)</x:v>
      </x:c>
      <x:c r="J90" s="11" t="str">
        <x:v>N/A (Bypassed)</x:v>
      </x:c>
      <x:c r="K90" s="11" t="str">
        <x:v>N/A</x:v>
      </x:c>
      <x:c r="L90" s="11" t="n">
        <x:v>47.6038</x:v>
      </x:c>
      <x:c r="M90" s="11" t="n">
        <x:v>2.7004</x:v>
      </x:c>
      <x:c r="N90" s="1" t="str">
        <x:v>6898be28591c4e1abe73f83f56b307e4</x:v>
      </x:c>
      <x:c r="O90" s="1" t="str">
        <x:v>Admin Office - 1</x:v>
      </x:c>
      <x:c r="P90" s="1" t="n">
        <x:v>1</x:v>
      </x:c>
      <x:c r="Q90" s="1" t="str">
        <x:v>standard_mode_logs</x:v>
      </x:c>
      <x:c r="R90" s="1" t="n">
        <x:v>5</x:v>
      </x:c>
      <x:c r="S90" s="1" t="str">
        <x:v>Reset exit</x:v>
      </x:c>
      <x:c r="T90" s="1"/>
      <x:c r="U90" s="5" t="str"/>
      <x:c r="V90" s="1" t="n">
        <x:v>0</x:v>
      </x:c>
      <x:c r="W90" s="1" t="n">
        <x:v>0</x:v>
      </x:c>
      <x:c r="X90" s="1" t="str">
        <x:v>Not applicable</x:v>
      </x:c>
      <x:c r="Y90" s="1" t="n">
        <x:f>IF(V90=1,IF(E90="GRANTED",IF(X90="GRANTED",1,0),IF(X90="DENIED",1,0)),0)</x:f>
        <x:v>0</x:v>
      </x:c>
    </x:row>
    <x:row r="91" ht="23" customHeight="1">
      <x:c r="A91" s="9" t="n">
        <x:v>46246.49004927083</x:v>
      </x:c>
      <x:c r="B91" s="1" t="str">
        <x:v>Ana Delos Reyes</x:v>
      </x:c>
      <x:c r="C91" s="1" t="str">
        <x:v>Exit</x:v>
      </x:c>
      <x:c r="D91" s="1" t="str">
        <x:v>Standard</x:v>
      </x:c>
      <x:c r="E91" s="1" t="str">
        <x:v>GRANTED</x:v>
      </x:c>
      <x:c r="F91" s="11" t="n">
        <x:v>10.2384</x:v>
      </x:c>
      <x:c r="G91" s="11" t="str">
        <x:v>N/A (Bypassed)</x:v>
      </x:c>
      <x:c r="H91" s="11" t="str">
        <x:v>N/A (Bypassed)</x:v>
      </x:c>
      <x:c r="I91" s="11" t="str">
        <x:v>N/A (Bypassed)</x:v>
      </x:c>
      <x:c r="J91" s="11" t="str">
        <x:v>N/A (Bypassed)</x:v>
      </x:c>
      <x:c r="K91" s="11" t="str">
        <x:v>N/A</x:v>
      </x:c>
      <x:c r="L91" s="11" t="n">
        <x:v>10.2384</x:v>
      </x:c>
      <x:c r="M91" s="11" t="n">
        <x:v>2.7032</x:v>
      </x:c>
      <x:c r="N91" s="1" t="str">
        <x:v>6898be28591c4e1abe73f83f56b307e4</x:v>
      </x:c>
      <x:c r="O91" s="1" t="str">
        <x:v>Admin Office - 1</x:v>
      </x:c>
      <x:c r="P91" s="1" t="n">
        <x:v>1</x:v>
      </x:c>
      <x:c r="Q91" s="1" t="str">
        <x:v>standard_mode_logs</x:v>
      </x:c>
      <x:c r="R91" s="1" t="n">
        <x:v>6</x:v>
      </x:c>
      <x:c r="S91" s="1" t="str">
        <x:v>Reset exit</x:v>
      </x:c>
      <x:c r="T91" s="1"/>
      <x:c r="U91" s="5" t="str"/>
      <x:c r="V91" s="1" t="n">
        <x:v>0</x:v>
      </x:c>
      <x:c r="W91" s="1" t="n">
        <x:v>0</x:v>
      </x:c>
      <x:c r="X91" s="1" t="str">
        <x:v>Not applicable</x:v>
      </x:c>
      <x:c r="Y91" s="1" t="n">
        <x:f>IF(V91=1,IF(E91="GRANTED",IF(X91="GRANTED",1,0),IF(X91="DENIED",1,0)),0)</x:f>
        <x:v>0</x:v>
      </x:c>
    </x:row>
    <x:row r="92" ht="23" customHeight="1">
      <x:c r="A92" s="9" t="n">
        <x:v>46246.49002880787</x:v>
      </x:c>
      <x:c r="B92" s="1" t="str">
        <x:v>Maria Santos</x:v>
      </x:c>
      <x:c r="C92" s="1" t="str">
        <x:v>Exit</x:v>
      </x:c>
      <x:c r="D92" s="1" t="str">
        <x:v>Standard</x:v>
      </x:c>
      <x:c r="E92" s="1" t="str">
        <x:v>GRANTED</x:v>
      </x:c>
      <x:c r="F92" s="11" t="n">
        <x:v>39.0486</x:v>
      </x:c>
      <x:c r="G92" s="11" t="str">
        <x:v>N/A (Bypassed)</x:v>
      </x:c>
      <x:c r="H92" s="11" t="str">
        <x:v>N/A (Bypassed)</x:v>
      </x:c>
      <x:c r="I92" s="11" t="str">
        <x:v>N/A (Bypassed)</x:v>
      </x:c>
      <x:c r="J92" s="11" t="str">
        <x:v>N/A (Bypassed)</x:v>
      </x:c>
      <x:c r="K92" s="11" t="str">
        <x:v>N/A</x:v>
      </x:c>
      <x:c r="L92" s="11" t="n">
        <x:v>39.0486</x:v>
      </x:c>
      <x:c r="M92" s="11" t="n">
        <x:v>2.8105</x:v>
      </x:c>
      <x:c r="N92" s="1" t="str">
        <x:v>6898be28591c4e1abe73f83f56b307e4</x:v>
      </x:c>
      <x:c r="O92" s="1" t="str">
        <x:v>Admin Office - 1</x:v>
      </x:c>
      <x:c r="P92" s="1" t="n">
        <x:v>1</x:v>
      </x:c>
      <x:c r="Q92" s="1" t="str">
        <x:v>standard_mode_logs</x:v>
      </x:c>
      <x:c r="R92" s="1" t="n">
        <x:v>7</x:v>
      </x:c>
      <x:c r="S92" s="1" t="str">
        <x:v>Reset exit</x:v>
      </x:c>
      <x:c r="T92" s="1"/>
      <x:c r="U92" s="5" t="str"/>
      <x:c r="V92" s="1" t="n">
        <x:v>0</x:v>
      </x:c>
      <x:c r="W92" s="1" t="n">
        <x:v>0</x:v>
      </x:c>
      <x:c r="X92" s="1" t="str">
        <x:v>Not applicable</x:v>
      </x:c>
      <x:c r="Y92" s="1" t="n">
        <x:f>IF(V92=1,IF(E92="GRANTED",IF(X92="GRANTED",1,0),IF(X92="DENIED",1,0)),0)</x:f>
        <x:v>0</x:v>
      </x:c>
    </x:row>
    <x:row r="93" ht="23" customHeight="1">
      <x:c r="A93" s="9" t="n">
        <x:v>46246.490003217594</x:v>
      </x:c>
      <x:c r="B93" s="1" t="str">
        <x:v>Maria Clara</x:v>
      </x:c>
      <x:c r="C93" s="1" t="str">
        <x:v>Exit</x:v>
      </x:c>
      <x:c r="D93" s="1" t="str">
        <x:v>Standard</x:v>
      </x:c>
      <x:c r="E93" s="1" t="str">
        <x:v>GRANTED</x:v>
      </x:c>
      <x:c r="F93" s="11" t="n">
        <x:v>9.8529</x:v>
      </x:c>
      <x:c r="G93" s="11" t="str">
        <x:v>N/A (Bypassed)</x:v>
      </x:c>
      <x:c r="H93" s="11" t="str">
        <x:v>N/A (Bypassed)</x:v>
      </x:c>
      <x:c r="I93" s="11" t="str">
        <x:v>N/A (Bypassed)</x:v>
      </x:c>
      <x:c r="J93" s="11" t="str">
        <x:v>N/A (Bypassed)</x:v>
      </x:c>
      <x:c r="K93" s="11" t="str">
        <x:v>N/A</x:v>
      </x:c>
      <x:c r="L93" s="11" t="n">
        <x:v>9.8529</x:v>
      </x:c>
      <x:c r="M93" s="11" t="n">
        <x:v>2.8592</x:v>
      </x:c>
      <x:c r="N93" s="1" t="str">
        <x:v>6898be28591c4e1abe73f83f56b307e4</x:v>
      </x:c>
      <x:c r="O93" s="1" t="str">
        <x:v>Admin Office - 1</x:v>
      </x:c>
      <x:c r="P93" s="1" t="n">
        <x:v>1</x:v>
      </x:c>
      <x:c r="Q93" s="1" t="str">
        <x:v>standard_mode_logs</x:v>
      </x:c>
      <x:c r="R93" s="1" t="n">
        <x:v>8</x:v>
      </x:c>
      <x:c r="S93" s="1" t="str">
        <x:v>Reset exit</x:v>
      </x:c>
      <x:c r="T93" s="1"/>
      <x:c r="U93" s="5" t="str"/>
      <x:c r="V93" s="1" t="n">
        <x:v>0</x:v>
      </x:c>
      <x:c r="W93" s="1" t="n">
        <x:v>0</x:v>
      </x:c>
      <x:c r="X93" s="1" t="str">
        <x:v>Not applicable</x:v>
      </x:c>
      <x:c r="Y93" s="1" t="n">
        <x:f>IF(V93=1,IF(E93="GRANTED",IF(X93="GRANTED",1,0),IF(X93="DENIED",1,0)),0)</x:f>
        <x:v>0</x:v>
      </x:c>
    </x:row>
    <x:row r="94" ht="23" customHeight="1">
      <x:c r="A94" s="9" t="n">
        <x:v>46246.48998052083</x:v>
      </x:c>
      <x:c r="B94" s="1" t="str">
        <x:v>Juana Dela Cruz</x:v>
      </x:c>
      <x:c r="C94" s="1" t="str">
        <x:v>Exit</x:v>
      </x:c>
      <x:c r="D94" s="1" t="str">
        <x:v>Standard</x:v>
      </x:c>
      <x:c r="E94" s="1" t="str">
        <x:v>GRANTED</x:v>
      </x:c>
      <x:c r="F94" s="11" t="n">
        <x:v>10.3625</x:v>
      </x:c>
      <x:c r="G94" s="11" t="str">
        <x:v>N/A (Bypassed)</x:v>
      </x:c>
      <x:c r="H94" s="11" t="str">
        <x:v>N/A (Bypassed)</x:v>
      </x:c>
      <x:c r="I94" s="11" t="str">
        <x:v>N/A (Bypassed)</x:v>
      </x:c>
      <x:c r="J94" s="11" t="str">
        <x:v>N/A (Bypassed)</x:v>
      </x:c>
      <x:c r="K94" s="11" t="str">
        <x:v>N/A</x:v>
      </x:c>
      <x:c r="L94" s="11" t="n">
        <x:v>10.3625</x:v>
      </x:c>
      <x:c r="M94" s="11" t="n">
        <x:v>2.7641</x:v>
      </x:c>
      <x:c r="N94" s="1" t="str">
        <x:v>6898be28591c4e1abe73f83f56b307e4</x:v>
      </x:c>
      <x:c r="O94" s="1" t="str">
        <x:v>Admin Office - 1</x:v>
      </x:c>
      <x:c r="P94" s="1" t="n">
        <x:v>1</x:v>
      </x:c>
      <x:c r="Q94" s="1" t="str">
        <x:v>standard_mode_logs</x:v>
      </x:c>
      <x:c r="R94" s="1" t="n">
        <x:v>9</x:v>
      </x:c>
      <x:c r="S94" s="1" t="str">
        <x:v>Reset exit</x:v>
      </x:c>
      <x:c r="T94" s="1"/>
      <x:c r="U94" s="5" t="str"/>
      <x:c r="V94" s="1" t="n">
        <x:v>0</x:v>
      </x:c>
      <x:c r="W94" s="1" t="n">
        <x:v>0</x:v>
      </x:c>
      <x:c r="X94" s="1" t="str">
        <x:v>Not applicable</x:v>
      </x:c>
      <x:c r="Y94" s="1" t="n">
        <x:f>IF(V94=1,IF(E94="GRANTED",IF(X94="GRANTED",1,0),IF(X94="DENIED",1,0)),0)</x:f>
        <x:v>0</x:v>
      </x:c>
    </x:row>
    <x:row r="95" ht="23" customHeight="1">
      <x:c r="A95" s="9" t="n">
        <x:v>46246.48995809028</x:v>
      </x:c>
      <x:c r="B95" s="1" t="str">
        <x:v>Maria Dela Cruz</x:v>
      </x:c>
      <x:c r="C95" s="1" t="str">
        <x:v>Exit</x:v>
      </x:c>
      <x:c r="D95" s="1" t="str">
        <x:v>Standard</x:v>
      </x:c>
      <x:c r="E95" s="1" t="str">
        <x:v>GRANTED</x:v>
      </x:c>
      <x:c r="F95" s="11" t="n">
        <x:v>10.9928</x:v>
      </x:c>
      <x:c r="G95" s="11" t="str">
        <x:v>N/A (Bypassed)</x:v>
      </x:c>
      <x:c r="H95" s="11" t="str">
        <x:v>N/A (Bypassed)</x:v>
      </x:c>
      <x:c r="I95" s="11" t="str">
        <x:v>N/A (Bypassed)</x:v>
      </x:c>
      <x:c r="J95" s="11" t="str">
        <x:v>N/A (Bypassed)</x:v>
      </x:c>
      <x:c r="K95" s="11" t="str">
        <x:v>N/A</x:v>
      </x:c>
      <x:c r="L95" s="11" t="n">
        <x:v>10.9928</x:v>
      </x:c>
      <x:c r="M95" s="11" t="n">
        <x:v>4.4757</x:v>
      </x:c>
      <x:c r="N95" s="1" t="str">
        <x:v>6898be28591c4e1abe73f83f56b307e4</x:v>
      </x:c>
      <x:c r="O95" s="1" t="str">
        <x:v>Admin Office - 1</x:v>
      </x:c>
      <x:c r="P95" s="1" t="n">
        <x:v>1</x:v>
      </x:c>
      <x:c r="Q95" s="1" t="str">
        <x:v>standard_mode_logs</x:v>
      </x:c>
      <x:c r="R95" s="1" t="n">
        <x:v>10</x:v>
      </x:c>
      <x:c r="S95" s="1" t="str">
        <x:v>Reset exit</x:v>
      </x:c>
      <x:c r="T95" s="1"/>
      <x:c r="U95" s="5" t="str"/>
      <x:c r="V95" s="1" t="n">
        <x:v>0</x:v>
      </x:c>
      <x:c r="W95" s="1" t="n">
        <x:v>0</x:v>
      </x:c>
      <x:c r="X95" s="1" t="str">
        <x:v>Not applicable</x:v>
      </x:c>
      <x:c r="Y95" s="1" t="n">
        <x:f>IF(V95=1,IF(E95="GRANTED",IF(X95="GRANTED",1,0),IF(X95="DENIED",1,0)),0)</x:f>
        <x:v>0</x:v>
      </x:c>
    </x:row>
    <x:row r="96" ht="23" customHeight="1">
      <x:c r="A96" s="9" t="n">
        <x:v>46246.48993846065</x:v>
      </x:c>
      <x:c r="B96" s="1" t="str">
        <x:v>Basilio Magbanua</x:v>
      </x:c>
      <x:c r="C96" s="1" t="str">
        <x:v>Exit</x:v>
      </x:c>
      <x:c r="D96" s="1" t="str">
        <x:v>Standard</x:v>
      </x:c>
      <x:c r="E96" s="1" t="str">
        <x:v>GRANTED</x:v>
      </x:c>
      <x:c r="F96" s="11" t="n">
        <x:v>11.638</x:v>
      </x:c>
      <x:c r="G96" s="11" t="str">
        <x:v>N/A (Bypassed)</x:v>
      </x:c>
      <x:c r="H96" s="11" t="str">
        <x:v>N/A (Bypassed)</x:v>
      </x:c>
      <x:c r="I96" s="11" t="str">
        <x:v>N/A (Bypassed)</x:v>
      </x:c>
      <x:c r="J96" s="11" t="str">
        <x:v>N/A (Bypassed)</x:v>
      </x:c>
      <x:c r="K96" s="11" t="str">
        <x:v>N/A</x:v>
      </x:c>
      <x:c r="L96" s="11" t="n">
        <x:v>11.638</x:v>
      </x:c>
      <x:c r="M96" s="11" t="n">
        <x:v>4.7438</x:v>
      </x:c>
      <x:c r="N96" s="1" t="str">
        <x:v>6898be28591c4e1abe73f83f56b307e4</x:v>
      </x:c>
      <x:c r="O96" s="1" t="str">
        <x:v>Admin Office - 1</x:v>
      </x:c>
      <x:c r="P96" s="1" t="n">
        <x:v>1</x:v>
      </x:c>
      <x:c r="Q96" s="1" t="str">
        <x:v>standard_mode_logs</x:v>
      </x:c>
      <x:c r="R96" s="1" t="n">
        <x:v>11</x:v>
      </x:c>
      <x:c r="S96" s="1" t="str">
        <x:v>Reset exit</x:v>
      </x:c>
      <x:c r="T96" s="1"/>
      <x:c r="U96" s="5" t="str"/>
      <x:c r="V96" s="1" t="n">
        <x:v>0</x:v>
      </x:c>
      <x:c r="W96" s="1" t="n">
        <x:v>0</x:v>
      </x:c>
      <x:c r="X96" s="1" t="str">
        <x:v>Not applicable</x:v>
      </x:c>
      <x:c r="Y96" s="1" t="n">
        <x:f>IF(V96=1,IF(E96="GRANTED",IF(X96="GRANTED",1,0),IF(X96="DENIED",1,0)),0)</x:f>
        <x:v>0</x:v>
      </x:c>
    </x:row>
    <x:row r="97" ht="23" customHeight="1">
      <x:c r="A97" s="9" t="n">
        <x:v>46246.48991833333</x:v>
      </x:c>
      <x:c r="B97" s="1" t="str">
        <x:v>Bayani Dela Rosa</x:v>
      </x:c>
      <x:c r="C97" s="1" t="str">
        <x:v>Exit</x:v>
      </x:c>
      <x:c r="D97" s="1" t="str">
        <x:v>Standard</x:v>
      </x:c>
      <x:c r="E97" s="1" t="str">
        <x:v>GRANTED</x:v>
      </x:c>
      <x:c r="F97" s="11" t="n">
        <x:v>13.7258</x:v>
      </x:c>
      <x:c r="G97" s="11" t="str">
        <x:v>N/A (Bypassed)</x:v>
      </x:c>
      <x:c r="H97" s="11" t="str">
        <x:v>N/A (Bypassed)</x:v>
      </x:c>
      <x:c r="I97" s="11" t="str">
        <x:v>N/A (Bypassed)</x:v>
      </x:c>
      <x:c r="J97" s="11" t="str">
        <x:v>N/A (Bypassed)</x:v>
      </x:c>
      <x:c r="K97" s="11" t="str">
        <x:v>N/A</x:v>
      </x:c>
      <x:c r="L97" s="11" t="n">
        <x:v>13.7258</x:v>
      </x:c>
      <x:c r="M97" s="11" t="n">
        <x:v>3.9095</x:v>
      </x:c>
      <x:c r="N97" s="1" t="str">
        <x:v>6898be28591c4e1abe73f83f56b307e4</x:v>
      </x:c>
      <x:c r="O97" s="1" t="str">
        <x:v>Admin Office - 1</x:v>
      </x:c>
      <x:c r="P97" s="1" t="n">
        <x:v>1</x:v>
      </x:c>
      <x:c r="Q97" s="1" t="str">
        <x:v>standard_mode_logs</x:v>
      </x:c>
      <x:c r="R97" s="1" t="n">
        <x:v>12</x:v>
      </x:c>
      <x:c r="S97" s="1" t="str">
        <x:v>Reset exit</x:v>
      </x:c>
      <x:c r="T97" s="1"/>
      <x:c r="U97" s="5" t="str"/>
      <x:c r="V97" s="1" t="n">
        <x:v>0</x:v>
      </x:c>
      <x:c r="W97" s="1" t="n">
        <x:v>0</x:v>
      </x:c>
      <x:c r="X97" s="1" t="str">
        <x:v>Not applicable</x:v>
      </x:c>
      <x:c r="Y97" s="1" t="n">
        <x:f>IF(V97=1,IF(E97="GRANTED",IF(X97="GRANTED",1,0),IF(X97="DENIED",1,0)),0)</x:f>
        <x:v>0</x:v>
      </x:c>
    </x:row>
    <x:row r="98" ht="23" customHeight="1">
      <x:c r="A98" s="9" t="n">
        <x:v>46246.48989993056</x:v>
      </x:c>
      <x:c r="B98" s="1" t="str">
        <x:v>Jose Mari Bautista</x:v>
      </x:c>
      <x:c r="C98" s="1" t="str">
        <x:v>Exit</x:v>
      </x:c>
      <x:c r="D98" s="1" t="str">
        <x:v>Standard</x:v>
      </x:c>
      <x:c r="E98" s="1" t="str">
        <x:v>GRANTED</x:v>
      </x:c>
      <x:c r="F98" s="11" t="n">
        <x:v>11.2114</x:v>
      </x:c>
      <x:c r="G98" s="11" t="str">
        <x:v>N/A (Bypassed)</x:v>
      </x:c>
      <x:c r="H98" s="11" t="str">
        <x:v>N/A (Bypassed)</x:v>
      </x:c>
      <x:c r="I98" s="11" t="str">
        <x:v>N/A (Bypassed)</x:v>
      </x:c>
      <x:c r="J98" s="11" t="str">
        <x:v>N/A (Bypassed)</x:v>
      </x:c>
      <x:c r="K98" s="11" t="str">
        <x:v>N/A</x:v>
      </x:c>
      <x:c r="L98" s="11" t="n">
        <x:v>11.2114</x:v>
      </x:c>
      <x:c r="M98" s="11" t="n">
        <x:v>2.5639</x:v>
      </x:c>
      <x:c r="N98" s="1" t="str">
        <x:v>6898be28591c4e1abe73f83f56b307e4</x:v>
      </x:c>
      <x:c r="O98" s="1" t="str">
        <x:v>Admin Office - 1</x:v>
      </x:c>
      <x:c r="P98" s="1" t="n">
        <x:v>1</x:v>
      </x:c>
      <x:c r="Q98" s="1" t="str">
        <x:v>standard_mode_logs</x:v>
      </x:c>
      <x:c r="R98" s="1" t="n">
        <x:v>13</x:v>
      </x:c>
      <x:c r="S98" s="1" t="str">
        <x:v>Reset exit</x:v>
      </x:c>
      <x:c r="T98" s="1"/>
      <x:c r="U98" s="5" t="str"/>
      <x:c r="V98" s="1" t="n">
        <x:v>0</x:v>
      </x:c>
      <x:c r="W98" s="1" t="n">
        <x:v>0</x:v>
      </x:c>
      <x:c r="X98" s="1" t="str">
        <x:v>Not applicable</x:v>
      </x:c>
      <x:c r="Y98" s="1" t="n">
        <x:f>IF(V98=1,IF(E98="GRANTED",IF(X98="GRANTED",1,0),IF(X98="DENIED",1,0)),0)</x:f>
        <x:v>0</x:v>
      </x:c>
    </x:row>
    <x:row r="99" ht="23" customHeight="1">
      <x:c r="A99" s="9" t="n">
        <x:v>46246.48988042824</x:v>
      </x:c>
      <x:c r="B99" s="1" t="str">
        <x:v>Angelito Fernandez</x:v>
      </x:c>
      <x:c r="C99" s="1" t="str">
        <x:v>Exit</x:v>
      </x:c>
      <x:c r="D99" s="1" t="str">
        <x:v>Standard</x:v>
      </x:c>
      <x:c r="E99" s="1" t="str">
        <x:v>GRANTED</x:v>
      </x:c>
      <x:c r="F99" s="11" t="n">
        <x:v>12.2598</x:v>
      </x:c>
      <x:c r="G99" s="11" t="str">
        <x:v>N/A (Bypassed)</x:v>
      </x:c>
      <x:c r="H99" s="11" t="str">
        <x:v>N/A (Bypassed)</x:v>
      </x:c>
      <x:c r="I99" s="11" t="str">
        <x:v>N/A (Bypassed)</x:v>
      </x:c>
      <x:c r="J99" s="11" t="str">
        <x:v>N/A (Bypassed)</x:v>
      </x:c>
      <x:c r="K99" s="11" t="str">
        <x:v>N/A</x:v>
      </x:c>
      <x:c r="L99" s="11" t="n">
        <x:v>12.2598</x:v>
      </x:c>
      <x:c r="M99" s="11" t="n">
        <x:v>2.8997</x:v>
      </x:c>
      <x:c r="N99" s="1" t="str">
        <x:v>6898be28591c4e1abe73f83f56b307e4</x:v>
      </x:c>
      <x:c r="O99" s="1" t="str">
        <x:v>Admin Office - 1</x:v>
      </x:c>
      <x:c r="P99" s="1" t="n">
        <x:v>1</x:v>
      </x:c>
      <x:c r="Q99" s="1" t="str">
        <x:v>standard_mode_logs</x:v>
      </x:c>
      <x:c r="R99" s="1" t="n">
        <x:v>14</x:v>
      </x:c>
      <x:c r="S99" s="1" t="str">
        <x:v>Reset exit</x:v>
      </x:c>
      <x:c r="T99" s="1"/>
      <x:c r="U99" s="5" t="str"/>
      <x:c r="V99" s="1" t="n">
        <x:v>0</x:v>
      </x:c>
      <x:c r="W99" s="1" t="n">
        <x:v>0</x:v>
      </x:c>
      <x:c r="X99" s="1" t="str">
        <x:v>Not applicable</x:v>
      </x:c>
      <x:c r="Y99" s="1" t="n">
        <x:f>IF(V99=1,IF(E99="GRANTED",IF(X99="GRANTED",1,0),IF(X99="DENIED",1,0)),0)</x:f>
        <x:v>0</x:v>
      </x:c>
    </x:row>
    <x:row r="100" ht="23" customHeight="1">
      <x:c r="A100" s="9" t="n">
        <x:v>46246.48986202547</x:v>
      </x:c>
      <x:c r="B100" s="1" t="str">
        <x:v>Roberto Ramos</x:v>
      </x:c>
      <x:c r="C100" s="1" t="str">
        <x:v>Exit</x:v>
      </x:c>
      <x:c r="D100" s="1" t="str">
        <x:v>Standard</x:v>
      </x:c>
      <x:c r="E100" s="1" t="str">
        <x:v>GRANTED</x:v>
      </x:c>
      <x:c r="F100" s="11" t="n">
        <x:v>7.729</x:v>
      </x:c>
      <x:c r="G100" s="11" t="str">
        <x:v>N/A (Bypassed)</x:v>
      </x:c>
      <x:c r="H100" s="11" t="str">
        <x:v>N/A (Bypassed)</x:v>
      </x:c>
      <x:c r="I100" s="11" t="str">
        <x:v>N/A (Bypassed)</x:v>
      </x:c>
      <x:c r="J100" s="11" t="str">
        <x:v>N/A (Bypassed)</x:v>
      </x:c>
      <x:c r="K100" s="11" t="str">
        <x:v>N/A</x:v>
      </x:c>
      <x:c r="L100" s="11" t="n">
        <x:v>7.729</x:v>
      </x:c>
      <x:c r="M100" s="11" t="n">
        <x:v>0.5949</x:v>
      </x:c>
      <x:c r="N100" s="1" t="str">
        <x:v>6898be28591c4e1abe73f83f56b307e4</x:v>
      </x:c>
      <x:c r="O100" s="1" t="str">
        <x:v>Admin Office - 1</x:v>
      </x:c>
      <x:c r="P100" s="1" t="n">
        <x:v>1</x:v>
      </x:c>
      <x:c r="Q100" s="1" t="str">
        <x:v>standard_mode_logs</x:v>
      </x:c>
      <x:c r="R100" s="1" t="n">
        <x:v>15</x:v>
      </x:c>
      <x:c r="S100" s="1" t="str">
        <x:v>Reset exit</x:v>
      </x:c>
      <x:c r="T100" s="1"/>
      <x:c r="U100" s="5" t="str"/>
      <x:c r="V100" s="1" t="n">
        <x:v>0</x:v>
      </x:c>
      <x:c r="W100" s="1" t="n">
        <x:v>0</x:v>
      </x:c>
      <x:c r="X100" s="1" t="str">
        <x:v>Not applicable</x:v>
      </x:c>
      <x:c r="Y100" s="1" t="n">
        <x:f>IF(V100=1,IF(E100="GRANTED",IF(X100="GRANTED",1,0),IF(X100="DENIED",1,0)),0)</x:f>
        <x:v>0</x:v>
      </x:c>
    </x:row>
    <x:row r="101" ht="23" customHeight="1">
      <x:c r="A101" s="9" t="n">
        <x:v>46246.489842951385</x:v>
      </x:c>
      <x:c r="B101" s="1" t="str">
        <x:v>Juanito Delos Santos</x:v>
      </x:c>
      <x:c r="C101" s="1" t="str">
        <x:v>Exit</x:v>
      </x:c>
      <x:c r="D101" s="1" t="str">
        <x:v>Standard</x:v>
      </x:c>
      <x:c r="E101" s="1" t="str">
        <x:v>GRANTED</x:v>
      </x:c>
      <x:c r="F101" s="11" t="n">
        <x:v>12.6038</x:v>
      </x:c>
      <x:c r="G101" s="11" t="str">
        <x:v>N/A (Bypassed)</x:v>
      </x:c>
      <x:c r="H101" s="11" t="str">
        <x:v>N/A (Bypassed)</x:v>
      </x:c>
      <x:c r="I101" s="11" t="str">
        <x:v>N/A (Bypassed)</x:v>
      </x:c>
      <x:c r="J101" s="11" t="str">
        <x:v>N/A (Bypassed)</x:v>
      </x:c>
      <x:c r="K101" s="11" t="str">
        <x:v>N/A</x:v>
      </x:c>
      <x:c r="L101" s="11" t="n">
        <x:v>12.6038</x:v>
      </x:c>
      <x:c r="M101" s="11" t="n">
        <x:v>5.0133</x:v>
      </x:c>
      <x:c r="N101" s="1" t="str">
        <x:v>6898be28591c4e1abe73f83f56b307e4</x:v>
      </x:c>
      <x:c r="O101" s="1" t="str">
        <x:v>Admin Office - 1</x:v>
      </x:c>
      <x:c r="P101" s="1" t="n">
        <x:v>1</x:v>
      </x:c>
      <x:c r="Q101" s="1" t="str">
        <x:v>standard_mode_logs</x:v>
      </x:c>
      <x:c r="R101" s="1" t="n">
        <x:v>16</x:v>
      </x:c>
      <x:c r="S101" s="1" t="str">
        <x:v>Reset exit</x:v>
      </x:c>
      <x:c r="T101" s="1"/>
      <x:c r="U101" s="5" t="str"/>
      <x:c r="V101" s="1" t="n">
        <x:v>0</x:v>
      </x:c>
      <x:c r="W101" s="1" t="n">
        <x:v>0</x:v>
      </x:c>
      <x:c r="X101" s="1" t="str">
        <x:v>Not applicable</x:v>
      </x:c>
      <x:c r="Y101" s="1" t="n">
        <x:f>IF(V101=1,IF(E101="GRANTED",IF(X101="GRANTED",1,0),IF(X101="DENIED",1,0)),0)</x:f>
        <x:v>0</x:v>
      </x:c>
    </x:row>
    <x:row r="102" ht="23" customHeight="1">
      <x:c r="A102" s="9" t="n">
        <x:v>46246.4898180787</x:v>
      </x:c>
      <x:c r="B102" s="1" t="str">
        <x:v>[TEMP] Manuel Mendoza</x:v>
      </x:c>
      <x:c r="C102" s="1" t="str">
        <x:v>Exit</x:v>
      </x:c>
      <x:c r="D102" s="1" t="str">
        <x:v>Standard</x:v>
      </x:c>
      <x:c r="E102" s="1" t="str">
        <x:v>GRANTED</x:v>
      </x:c>
      <x:c r="F102" s="11" t="n">
        <x:v>11.1273</x:v>
      </x:c>
      <x:c r="G102" s="11" t="str">
        <x:v>N/A (Bypassed)</x:v>
      </x:c>
      <x:c r="H102" s="11" t="str">
        <x:v>N/A (Bypassed)</x:v>
      </x:c>
      <x:c r="I102" s="11" t="str">
        <x:v>N/A (Bypassed)</x:v>
      </x:c>
      <x:c r="J102" s="11" t="str">
        <x:v>N/A (Bypassed)</x:v>
      </x:c>
      <x:c r="K102" s="11" t="str">
        <x:v>N/A</x:v>
      </x:c>
      <x:c r="L102" s="11" t="n">
        <x:v>11.1273</x:v>
      </x:c>
      <x:c r="M102" s="11" t="n">
        <x:v>2.3919</x:v>
      </x:c>
      <x:c r="N102" s="1" t="str">
        <x:v>6898be28591c4e1abe73f83f56b307e4</x:v>
      </x:c>
      <x:c r="O102" s="1" t="str">
        <x:v>Admin Office - 1</x:v>
      </x:c>
      <x:c r="P102" s="1" t="n">
        <x:v>1</x:v>
      </x:c>
      <x:c r="Q102" s="1" t="str">
        <x:v>standard_mode_logs</x:v>
      </x:c>
      <x:c r="R102" s="1" t="n">
        <x:v>17</x:v>
      </x:c>
      <x:c r="S102" s="1" t="str">
        <x:v>Reset exit</x:v>
      </x:c>
      <x:c r="T102" s="1"/>
      <x:c r="U102" s="5" t="str"/>
      <x:c r="V102" s="1" t="n">
        <x:v>0</x:v>
      </x:c>
      <x:c r="W102" s="1" t="n">
        <x:v>0</x:v>
      </x:c>
      <x:c r="X102" s="1" t="str">
        <x:v>Not applicable</x:v>
      </x:c>
      <x:c r="Y102" s="1" t="n">
        <x:f>IF(V102=1,IF(E102="GRANTED",IF(X102="GRANTED",1,0),IF(X102="DENIED",1,0)),0)</x:f>
        <x:v>0</x:v>
      </x:c>
    </x:row>
    <x:row r="103" ht="23" customHeight="1">
      <x:c r="A103" s="12" t="n">
        <x:v>46246.48979016204</x:v>
      </x:c>
      <x:c r="B103" s="13" t="str">
        <x:v>Francisco Garcia</x:v>
      </x:c>
      <x:c r="C103" s="13" t="str">
        <x:v>Exit</x:v>
      </x:c>
      <x:c r="D103" s="13" t="str">
        <x:v>Standard</x:v>
      </x:c>
      <x:c r="E103" s="13" t="str">
        <x:v>DENIED [IRREGULAR_EXIT_SEQUENCE]</x:v>
      </x:c>
      <x:c r="F103" s="14" t="n">
        <x:v>1.0758</x:v>
      </x:c>
      <x:c r="G103" s="14" t="str">
        <x:v>N/A (Bypassed)</x:v>
      </x:c>
      <x:c r="H103" s="14" t="str">
        <x:v>N/A (Bypassed)</x:v>
      </x:c>
      <x:c r="I103" s="14" t="str">
        <x:v>N/A (Bypassed)</x:v>
      </x:c>
      <x:c r="J103" s="14" t="str">
        <x:v>N/A (Bypassed)</x:v>
      </x:c>
      <x:c r="K103" s="14" t="str">
        <x:v>N/A</x:v>
      </x:c>
      <x:c r="L103" s="14" t="n">
        <x:v>1.0758</x:v>
      </x:c>
      <x:c r="M103" s="14" t="n">
        <x:v>0.6929</x:v>
      </x:c>
      <x:c r="N103" s="13" t="str">
        <x:v>6898be28591c4e1abe73f83f56b307e4</x:v>
      </x:c>
      <x:c r="O103" s="13" t="str">
        <x:v>Admin Office - 1</x:v>
      </x:c>
      <x:c r="P103" s="13" t="n">
        <x:v>1</x:v>
      </x:c>
      <x:c r="Q103" s="13" t="str">
        <x:v>standard_mode_logs</x:v>
      </x:c>
      <x:c r="R103" s="13" t="n">
        <x:v>18</x:v>
      </x:c>
      <x:c r="S103" s="13" t="str">
        <x:v>Denied record</x:v>
      </x:c>
      <x:c r="T103" s="13"/>
      <x:c r="U103" s="15" t="str"/>
      <x:c r="V103" s="1" t="n">
        <x:v>0</x:v>
      </x:c>
      <x:c r="W103" s="1" t="n">
        <x:v>0</x:v>
      </x:c>
      <x:c r="X103" s="1" t="str">
        <x:v>Not applicable</x:v>
      </x:c>
      <x:c r="Y103" s="1" t="n">
        <x:f>IF(V103=1,IF(E103="GRANTED",IF(X103="GRANTED",1,0),IF(X103="DENIED",1,0)),0)</x:f>
        <x:v>0</x:v>
      </x:c>
    </x:row>
    <x:row r="104" ht="23" customHeight="1">
      <x:c r="A104" s="9" t="n">
        <x:v>46246.48974939815</x:v>
      </x:c>
      <x:c r="B104" s="1" t="str">
        <x:v>Francisco Garcia</x:v>
      </x:c>
      <x:c r="C104" s="1" t="str">
        <x:v>Exit</x:v>
      </x:c>
      <x:c r="D104" s="1" t="str">
        <x:v>Standard</x:v>
      </x:c>
      <x:c r="E104" s="1" t="str">
        <x:v>GRANTED</x:v>
      </x:c>
      <x:c r="F104" s="11" t="n">
        <x:v>10.1177</x:v>
      </x:c>
      <x:c r="G104" s="11" t="str">
        <x:v>N/A (Bypassed)</x:v>
      </x:c>
      <x:c r="H104" s="11" t="str">
        <x:v>N/A (Bypassed)</x:v>
      </x:c>
      <x:c r="I104" s="11" t="str">
        <x:v>N/A (Bypassed)</x:v>
      </x:c>
      <x:c r="J104" s="11" t="str">
        <x:v>N/A (Bypassed)</x:v>
      </x:c>
      <x:c r="K104" s="11" t="str">
        <x:v>N/A</x:v>
      </x:c>
      <x:c r="L104" s="11" t="n">
        <x:v>10.1177</x:v>
      </x:c>
      <x:c r="M104" s="11" t="n">
        <x:v>2.5365</x:v>
      </x:c>
      <x:c r="N104" s="1" t="str">
        <x:v>6898be28591c4e1abe73f83f56b307e4</x:v>
      </x:c>
      <x:c r="O104" s="1" t="str">
        <x:v>Admin Office - 1</x:v>
      </x:c>
      <x:c r="P104" s="1" t="n">
        <x:v>1</x:v>
      </x:c>
      <x:c r="Q104" s="1" t="str">
        <x:v>standard_mode_logs</x:v>
      </x:c>
      <x:c r="R104" s="1" t="n">
        <x:v>19</x:v>
      </x:c>
      <x:c r="S104" s="1" t="str">
        <x:v>Reset exit</x:v>
      </x:c>
      <x:c r="T104" s="1"/>
      <x:c r="U104" s="5" t="str"/>
      <x:c r="V104" s="1" t="n">
        <x:v>0</x:v>
      </x:c>
      <x:c r="W104" s="1" t="n">
        <x:v>0</x:v>
      </x:c>
      <x:c r="X104" s="1" t="str">
        <x:v>Not applicable</x:v>
      </x:c>
      <x:c r="Y104" s="1" t="n">
        <x:f>IF(V104=1,IF(E104="GRANTED",IF(X104="GRANTED",1,0),IF(X104="DENIED",1,0)),0)</x:f>
        <x:v>0</x:v>
      </x:c>
    </x:row>
    <x:row r="105" ht="23" customHeight="1">
      <x:c r="A105" s="9" t="n">
        <x:v>46246.489729270834</x:v>
      </x:c>
      <x:c r="B105" s="1" t="str">
        <x:v>[TEMP] Pedro Reyes</x:v>
      </x:c>
      <x:c r="C105" s="1" t="str">
        <x:v>Exit</x:v>
      </x:c>
      <x:c r="D105" s="1" t="str">
        <x:v>Standard</x:v>
      </x:c>
      <x:c r="E105" s="1" t="str">
        <x:v>GRANTED</x:v>
      </x:c>
      <x:c r="F105" s="11" t="n">
        <x:v>11.8635</x:v>
      </x:c>
      <x:c r="G105" s="11" t="str">
        <x:v>N/A (Bypassed)</x:v>
      </x:c>
      <x:c r="H105" s="11" t="str">
        <x:v>N/A (Bypassed)</x:v>
      </x:c>
      <x:c r="I105" s="11" t="str">
        <x:v>N/A (Bypassed)</x:v>
      </x:c>
      <x:c r="J105" s="11" t="str">
        <x:v>N/A (Bypassed)</x:v>
      </x:c>
      <x:c r="K105" s="11" t="str">
        <x:v>N/A</x:v>
      </x:c>
      <x:c r="L105" s="11" t="n">
        <x:v>11.8635</x:v>
      </x:c>
      <x:c r="M105" s="11" t="n">
        <x:v>4.1148</x:v>
      </x:c>
      <x:c r="N105" s="1" t="str">
        <x:v>6898be28591c4e1abe73f83f56b307e4</x:v>
      </x:c>
      <x:c r="O105" s="1" t="str">
        <x:v>Admin Office - 1</x:v>
      </x:c>
      <x:c r="P105" s="1" t="n">
        <x:v>1</x:v>
      </x:c>
      <x:c r="Q105" s="1" t="str">
        <x:v>standard_mode_logs</x:v>
      </x:c>
      <x:c r="R105" s="1" t="n">
        <x:v>20</x:v>
      </x:c>
      <x:c r="S105" s="1" t="str">
        <x:v>Reset exit</x:v>
      </x:c>
      <x:c r="T105" s="1"/>
      <x:c r="U105" s="5" t="str"/>
      <x:c r="V105" s="1" t="n">
        <x:v>0</x:v>
      </x:c>
      <x:c r="W105" s="1" t="n">
        <x:v>0</x:v>
      </x:c>
      <x:c r="X105" s="1" t="str">
        <x:v>Not applicable</x:v>
      </x:c>
      <x:c r="Y105" s="1" t="n">
        <x:f>IF(V105=1,IF(E105="GRANTED",IF(X105="GRANTED",1,0),IF(X105="DENIED",1,0)),0)</x:f>
        <x:v>0</x:v>
      </x:c>
    </x:row>
    <x:row r="106" ht="23" customHeight="1">
      <x:c r="A106" s="9" t="n">
        <x:v>46246.48971081019</x:v>
      </x:c>
      <x:c r="B106" s="1" t="str">
        <x:v>[TEMP] Jose Santos</x:v>
      </x:c>
      <x:c r="C106" s="1" t="str">
        <x:v>Exit</x:v>
      </x:c>
      <x:c r="D106" s="1" t="str">
        <x:v>Standard</x:v>
      </x:c>
      <x:c r="E106" s="1" t="str">
        <x:v>GRANTED</x:v>
      </x:c>
      <x:c r="F106" s="11" t="n">
        <x:v>13.5201</x:v>
      </x:c>
      <x:c r="G106" s="11" t="str">
        <x:v>N/A (Bypassed)</x:v>
      </x:c>
      <x:c r="H106" s="11" t="str">
        <x:v>N/A (Bypassed)</x:v>
      </x:c>
      <x:c r="I106" s="11" t="str">
        <x:v>N/A (Bypassed)</x:v>
      </x:c>
      <x:c r="J106" s="11" t="str">
        <x:v>N/A (Bypassed)</x:v>
      </x:c>
      <x:c r="K106" s="11" t="str">
        <x:v>N/A</x:v>
      </x:c>
      <x:c r="L106" s="11" t="n">
        <x:v>13.5201</x:v>
      </x:c>
      <x:c r="M106" s="11" t="n">
        <x:v>4.4293</x:v>
      </x:c>
      <x:c r="N106" s="1" t="str">
        <x:v>6898be28591c4e1abe73f83f56b307e4</x:v>
      </x:c>
      <x:c r="O106" s="1" t="str">
        <x:v>Admin Office - 1</x:v>
      </x:c>
      <x:c r="P106" s="1" t="n">
        <x:v>1</x:v>
      </x:c>
      <x:c r="Q106" s="1" t="str">
        <x:v>standard_mode_logs</x:v>
      </x:c>
      <x:c r="R106" s="1" t="n">
        <x:v>21</x:v>
      </x:c>
      <x:c r="S106" s="1" t="str">
        <x:v>Reset exit</x:v>
      </x:c>
      <x:c r="T106" s="1"/>
      <x:c r="U106" s="5" t="str"/>
      <x:c r="V106" s="1" t="n">
        <x:v>0</x:v>
      </x:c>
      <x:c r="W106" s="1" t="n">
        <x:v>0</x:v>
      </x:c>
      <x:c r="X106" s="1" t="str">
        <x:v>Not applicable</x:v>
      </x:c>
      <x:c r="Y106" s="1" t="n">
        <x:f>IF(V106=1,IF(E106="GRANTED",IF(X106="GRANTED",1,0),IF(X106="DENIED",1,0)),0)</x:f>
        <x:v>0</x:v>
      </x:c>
    </x:row>
    <x:row r="107" ht="23" customHeight="1">
      <x:c r="A107" s="9" t="n">
        <x:v>46246.48966386574</x:v>
      </x:c>
      <x:c r="B107" s="1" t="str">
        <x:v>[TEMP] Juan Dela Cruz</x:v>
      </x:c>
      <x:c r="C107" s="1" t="str">
        <x:v>Exit</x:v>
      </x:c>
      <x:c r="D107" s="1" t="str">
        <x:v>Standard</x:v>
      </x:c>
      <x:c r="E107" s="1" t="str">
        <x:v>GRANTED</x:v>
      </x:c>
      <x:c r="F107" s="11" t="n">
        <x:v>9.4824</x:v>
      </x:c>
      <x:c r="G107" s="11" t="str">
        <x:v>N/A (Bypassed)</x:v>
      </x:c>
      <x:c r="H107" s="11" t="str">
        <x:v>N/A (Bypassed)</x:v>
      </x:c>
      <x:c r="I107" s="11" t="str">
        <x:v>N/A (Bypassed)</x:v>
      </x:c>
      <x:c r="J107" s="11" t="str">
        <x:v>N/A (Bypassed)</x:v>
      </x:c>
      <x:c r="K107" s="11" t="str">
        <x:v>N/A</x:v>
      </x:c>
      <x:c r="L107" s="11" t="n">
        <x:v>9.4824</x:v>
      </x:c>
      <x:c r="M107" s="11" t="n">
        <x:v>1.8402</x:v>
      </x:c>
      <x:c r="N107" s="1" t="str">
        <x:v>6898be28591c4e1abe73f83f56b307e4</x:v>
      </x:c>
      <x:c r="O107" s="1" t="str">
        <x:v>Admin Office - 1</x:v>
      </x:c>
      <x:c r="P107" s="1" t="n">
        <x:v>1</x:v>
      </x:c>
      <x:c r="Q107" s="1" t="str">
        <x:v>standard_mode_logs</x:v>
      </x:c>
      <x:c r="R107" s="1" t="n">
        <x:v>22</x:v>
      </x:c>
      <x:c r="S107" s="1" t="str">
        <x:v>Reset exit</x:v>
      </x:c>
      <x:c r="T107" s="1"/>
      <x:c r="U107" s="5" t="str"/>
      <x:c r="V107" s="1" t="n">
        <x:v>0</x:v>
      </x:c>
      <x:c r="W107" s="1" t="n">
        <x:v>0</x:v>
      </x:c>
      <x:c r="X107" s="1" t="str">
        <x:v>Not applicable</x:v>
      </x:c>
      <x:c r="Y107" s="1" t="n">
        <x:f>IF(V107=1,IF(E107="GRANTED",IF(X107="GRANTED",1,0),IF(X107="DENIED",1,0)),0)</x:f>
        <x:v>0</x:v>
      </x:c>
    </x:row>
    <x:row r="108" ht="23" customHeight="1">
      <x:c r="A108" s="9" t="n">
        <x:v>46246.489539849536</x:v>
      </x:c>
      <x:c r="B108" s="1" t="str">
        <x:v>Pedro Penduko</x:v>
      </x:c>
      <x:c r="C108" s="1" t="str">
        <x:v>Entry</x:v>
      </x:c>
      <x:c r="D108" s="1" t="str">
        <x:v>Standard</x:v>
      </x:c>
      <x:c r="E108" s="1" t="str">
        <x:v>GRANTED</x:v>
      </x:c>
      <x:c r="F108" s="11" t="n">
        <x:v>12.4381</x:v>
      </x:c>
      <x:c r="G108" s="11" t="n">
        <x:v>4675.1188</x:v>
      </x:c>
      <x:c r="H108" s="11" t="n">
        <x:v>39.3907</x:v>
      </x:c>
      <x:c r="I108" s="11" t="str">
        <x:v>N/A (Bypassed)</x:v>
      </x:c>
      <x:c r="J108" s="11" t="str">
        <x:v>N/A (Bypassed)</x:v>
      </x:c>
      <x:c r="K108" s="11" t="n">
        <x:v>4675.1188</x:v>
      </x:c>
      <x:c r="L108" s="11" t="n">
        <x:v>51.8288</x:v>
      </x:c>
      <x:c r="M108" s="11" t="n">
        <x:v>44.3327</x:v>
      </x:c>
      <x:c r="N108" s="1" t="str">
        <x:v>6898be28591c4e1abe73f83f56b307e4</x:v>
      </x:c>
      <x:c r="O108" s="1" t="str">
        <x:v>Admin Office - 1</x:v>
      </x:c>
      <x:c r="P108" s="1" t="n">
        <x:v>1</x:v>
      </x:c>
      <x:c r="Q108" s="1" t="str">
        <x:v>standard_mode_logs</x:v>
      </x:c>
      <x:c r="R108" s="1" t="n">
        <x:v>23</x:v>
      </x:c>
      <x:c r="S108" s="1" t="str">
        <x:v>Successful entry</x:v>
      </x:c>
      <x:c r="T108" s="1" t="n">
        <x:v>2</x:v>
      </x:c>
      <x:c r="U108" s="5" t="str"/>
      <x:c r="V108" s="1" t="n">
        <x:v>1</x:v>
      </x:c>
      <x:c r="W108" s="1" t="n">
        <x:v>1</x:v>
      </x:c>
      <x:c r="X108" s="1" t="str">
        <x:v>GRANTED</x:v>
      </x:c>
      <x:c r="Y108" s="1" t="n">
        <x:f>IF(V108=1,IF(E108="GRANTED",IF(X108="GRANTED",1,0),IF(X108="DENIED",1,0)),0)</x:f>
        <x:v>1</x:v>
      </x:c>
    </x:row>
    <x:row r="109" ht="23" customHeight="1">
      <x:c r="A109" s="9" t="n">
        <x:v>46246.489436006945</x:v>
      </x:c>
      <x:c r="B109" s="1" t="str">
        <x:v>Juan Tamad</x:v>
      </x:c>
      <x:c r="C109" s="1" t="str">
        <x:v>Entry</x:v>
      </x:c>
      <x:c r="D109" s="1" t="str">
        <x:v>Standard</x:v>
      </x:c>
      <x:c r="E109" s="1" t="str">
        <x:v>GRANTED</x:v>
      </x:c>
      <x:c r="F109" s="11" t="n">
        <x:v>11.1366</x:v>
      </x:c>
      <x:c r="G109" s="11" t="n">
        <x:v>2035.4154</x:v>
      </x:c>
      <x:c r="H109" s="11" t="n">
        <x:v>37.7747</x:v>
      </x:c>
      <x:c r="I109" s="11" t="str">
        <x:v>N/A (Bypassed)</x:v>
      </x:c>
      <x:c r="J109" s="11" t="str">
        <x:v>N/A (Bypassed)</x:v>
      </x:c>
      <x:c r="K109" s="11" t="n">
        <x:v>2035.4154</x:v>
      </x:c>
      <x:c r="L109" s="11" t="n">
        <x:v>48.9113</x:v>
      </x:c>
      <x:c r="M109" s="11" t="n">
        <x:v>40.2317</x:v>
      </x:c>
      <x:c r="N109" s="1" t="str">
        <x:v>6898be28591c4e1abe73f83f56b307e4</x:v>
      </x:c>
      <x:c r="O109" s="1" t="str">
        <x:v>Admin Office - 1</x:v>
      </x:c>
      <x:c r="P109" s="1" t="n">
        <x:v>1</x:v>
      </x:c>
      <x:c r="Q109" s="1" t="str">
        <x:v>standard_mode_logs</x:v>
      </x:c>
      <x:c r="R109" s="1" t="n">
        <x:v>24</x:v>
      </x:c>
      <x:c r="S109" s="1" t="str">
        <x:v>Successful entry</x:v>
      </x:c>
      <x:c r="T109" s="1" t="n">
        <x:v>2</x:v>
      </x:c>
      <x:c r="U109" s="5" t="str"/>
      <x:c r="V109" s="1" t="n">
        <x:v>1</x:v>
      </x:c>
      <x:c r="W109" s="1" t="n">
        <x:v>1</x:v>
      </x:c>
      <x:c r="X109" s="1" t="str">
        <x:v>GRANTED</x:v>
      </x:c>
      <x:c r="Y109" s="1" t="n">
        <x:f>IF(V109=1,IF(E109="GRANTED",IF(X109="GRANTED",1,0),IF(X109="DENIED",1,0)),0)</x:f>
        <x:v>1</x:v>
      </x:c>
    </x:row>
    <x:row r="110" ht="23" customHeight="1">
      <x:c r="A110" s="9" t="n">
        <x:v>46246.48936677084</x:v>
      </x:c>
      <x:c r="B110" s="1" t="str">
        <x:v>Luningning Santos</x:v>
      </x:c>
      <x:c r="C110" s="1" t="str">
        <x:v>Entry</x:v>
      </x:c>
      <x:c r="D110" s="1" t="str">
        <x:v>Standard</x:v>
      </x:c>
      <x:c r="E110" s="1" t="str">
        <x:v>GRANTED</x:v>
      </x:c>
      <x:c r="F110" s="11" t="n">
        <x:v>11.8264</x:v>
      </x:c>
      <x:c r="G110" s="11" t="n">
        <x:v>2254.7538</x:v>
      </x:c>
      <x:c r="H110" s="11" t="n">
        <x:v>37.7416</x:v>
      </x:c>
      <x:c r="I110" s="11" t="str">
        <x:v>N/A (Bypassed)</x:v>
      </x:c>
      <x:c r="J110" s="11" t="str">
        <x:v>N/A (Bypassed)</x:v>
      </x:c>
      <x:c r="K110" s="11" t="n">
        <x:v>2254.7538</x:v>
      </x:c>
      <x:c r="L110" s="11" t="n">
        <x:v>49.568</x:v>
      </x:c>
      <x:c r="M110" s="11" t="n">
        <x:v>42.3421</x:v>
      </x:c>
      <x:c r="N110" s="1" t="str">
        <x:v>6898be28591c4e1abe73f83f56b307e4</x:v>
      </x:c>
      <x:c r="O110" s="1" t="str">
        <x:v>Admin Office - 1</x:v>
      </x:c>
      <x:c r="P110" s="1" t="n">
        <x:v>1</x:v>
      </x:c>
      <x:c r="Q110" s="1" t="str">
        <x:v>standard_mode_logs</x:v>
      </x:c>
      <x:c r="R110" s="1" t="n">
        <x:v>25</x:v>
      </x:c>
      <x:c r="S110" s="1" t="str">
        <x:v>Successful entry</x:v>
      </x:c>
      <x:c r="T110" s="1" t="n">
        <x:v>2</x:v>
      </x:c>
      <x:c r="U110" s="5" t="str"/>
      <x:c r="V110" s="1" t="n">
        <x:v>1</x:v>
      </x:c>
      <x:c r="W110" s="1" t="n">
        <x:v>1</x:v>
      </x:c>
      <x:c r="X110" s="1" t="str">
        <x:v>GRANTED</x:v>
      </x:c>
      <x:c r="Y110" s="1" t="n">
        <x:f>IF(V110=1,IF(E110="GRANTED",IF(X110="GRANTED",1,0),IF(X110="DENIED",1,0)),0)</x:f>
        <x:v>1</x:v>
      </x:c>
    </x:row>
    <x:row r="111" ht="23" customHeight="1">
      <x:c r="A111" s="9" t="n">
        <x:v>46246.48929003472</x:v>
      </x:c>
      <x:c r="B111" s="1" t="str">
        <x:v>Teresita Gonzales</x:v>
      </x:c>
      <x:c r="C111" s="1" t="str">
        <x:v>Entry</x:v>
      </x:c>
      <x:c r="D111" s="1" t="str">
        <x:v>Standard</x:v>
      </x:c>
      <x:c r="E111" s="1" t="str">
        <x:v>GRANTED</x:v>
      </x:c>
      <x:c r="F111" s="11" t="n">
        <x:v>9.9338</x:v>
      </x:c>
      <x:c r="G111" s="11" t="n">
        <x:v>3410.2572</x:v>
      </x:c>
      <x:c r="H111" s="11" t="n">
        <x:v>39.4641</x:v>
      </x:c>
      <x:c r="I111" s="11" t="str">
        <x:v>N/A (Bypassed)</x:v>
      </x:c>
      <x:c r="J111" s="11" t="str">
        <x:v>N/A (Bypassed)</x:v>
      </x:c>
      <x:c r="K111" s="11" t="n">
        <x:v>3410.2572</x:v>
      </x:c>
      <x:c r="L111" s="11" t="n">
        <x:v>49.3979</x:v>
      </x:c>
      <x:c r="M111" s="11" t="n">
        <x:v>42.1556</x:v>
      </x:c>
      <x:c r="N111" s="1" t="str">
        <x:v>6898be28591c4e1abe73f83f56b307e4</x:v>
      </x:c>
      <x:c r="O111" s="1" t="str">
        <x:v>Admin Office - 1</x:v>
      </x:c>
      <x:c r="P111" s="1" t="n">
        <x:v>1</x:v>
      </x:c>
      <x:c r="Q111" s="1" t="str">
        <x:v>standard_mode_logs</x:v>
      </x:c>
      <x:c r="R111" s="1" t="n">
        <x:v>26</x:v>
      </x:c>
      <x:c r="S111" s="1" t="str">
        <x:v>Successful entry</x:v>
      </x:c>
      <x:c r="T111" s="1" t="n">
        <x:v>2</x:v>
      </x:c>
      <x:c r="U111" s="5" t="str"/>
      <x:c r="V111" s="1" t="n">
        <x:v>1</x:v>
      </x:c>
      <x:c r="W111" s="1" t="n">
        <x:v>1</x:v>
      </x:c>
      <x:c r="X111" s="1" t="str">
        <x:v>GRANTED</x:v>
      </x:c>
      <x:c r="Y111" s="1" t="n">
        <x:f>IF(V111=1,IF(E111="GRANTED",IF(X111="GRANTED",1,0),IF(X111="DENIED",1,0)),0)</x:f>
        <x:v>1</x:v>
      </x:c>
    </x:row>
    <x:row r="112" ht="23" customHeight="1">
      <x:c r="A112" s="9" t="n">
        <x:v>46246.48919972222</x:v>
      </x:c>
      <x:c r="B112" s="1" t="str">
        <x:v>Ana Delos Reyes</x:v>
      </x:c>
      <x:c r="C112" s="1" t="str">
        <x:v>Entry</x:v>
      </x:c>
      <x:c r="D112" s="1" t="str">
        <x:v>Standard</x:v>
      </x:c>
      <x:c r="E112" s="1" t="str">
        <x:v>GRANTED</x:v>
      </x:c>
      <x:c r="F112" s="11" t="n">
        <x:v>12.2827</x:v>
      </x:c>
      <x:c r="G112" s="11" t="n">
        <x:v>4894.8698</x:v>
      </x:c>
      <x:c r="H112" s="11" t="n">
        <x:v>38.7233</x:v>
      </x:c>
      <x:c r="I112" s="11" t="str">
        <x:v>N/A (Bypassed)</x:v>
      </x:c>
      <x:c r="J112" s="11" t="str">
        <x:v>N/A (Bypassed)</x:v>
      </x:c>
      <x:c r="K112" s="11" t="n">
        <x:v>4894.8698</x:v>
      </x:c>
      <x:c r="L112" s="11" t="n">
        <x:v>51.006</x:v>
      </x:c>
      <x:c r="M112" s="11" t="n">
        <x:v>43.1867</x:v>
      </x:c>
      <x:c r="N112" s="1" t="str">
        <x:v>6898be28591c4e1abe73f83f56b307e4</x:v>
      </x:c>
      <x:c r="O112" s="1" t="str">
        <x:v>Admin Office - 1</x:v>
      </x:c>
      <x:c r="P112" s="1" t="n">
        <x:v>1</x:v>
      </x:c>
      <x:c r="Q112" s="1" t="str">
        <x:v>standard_mode_logs</x:v>
      </x:c>
      <x:c r="R112" s="1" t="n">
        <x:v>27</x:v>
      </x:c>
      <x:c r="S112" s="1" t="str">
        <x:v>Successful entry</x:v>
      </x:c>
      <x:c r="T112" s="1" t="n">
        <x:v>2</x:v>
      </x:c>
      <x:c r="U112" s="5" t="str"/>
      <x:c r="V112" s="1" t="n">
        <x:v>1</x:v>
      </x:c>
      <x:c r="W112" s="1" t="n">
        <x:v>1</x:v>
      </x:c>
      <x:c r="X112" s="1" t="str">
        <x:v>GRANTED</x:v>
      </x:c>
      <x:c r="Y112" s="1" t="n">
        <x:f>IF(V112=1,IF(E112="GRANTED",IF(X112="GRANTED",1,0),IF(X112="DENIED",1,0)),0)</x:f>
        <x:v>1</x:v>
      </x:c>
    </x:row>
    <x:row r="113" ht="23" customHeight="1">
      <x:c r="A113" s="9" t="n">
        <x:v>46246.48909199074</x:v>
      </x:c>
      <x:c r="B113" s="1" t="str">
        <x:v>Maria Santos</x:v>
      </x:c>
      <x:c r="C113" s="1" t="str">
        <x:v>Entry</x:v>
      </x:c>
      <x:c r="D113" s="1" t="str">
        <x:v>Standard</x:v>
      </x:c>
      <x:c r="E113" s="1" t="str">
        <x:v>GRANTED</x:v>
      </x:c>
      <x:c r="F113" s="11" t="n">
        <x:v>11.517</x:v>
      </x:c>
      <x:c r="G113" s="11" t="n">
        <x:v>1924.4349</x:v>
      </x:c>
      <x:c r="H113" s="11" t="n">
        <x:v>38.0542</x:v>
      </x:c>
      <x:c r="I113" s="11" t="str">
        <x:v>N/A (Bypassed)</x:v>
      </x:c>
      <x:c r="J113" s="11" t="str">
        <x:v>N/A (Bypassed)</x:v>
      </x:c>
      <x:c r="K113" s="11" t="n">
        <x:v>1924.4349</x:v>
      </x:c>
      <x:c r="L113" s="11" t="n">
        <x:v>49.5712</x:v>
      </x:c>
      <x:c r="M113" s="11" t="n">
        <x:v>41.2201</x:v>
      </x:c>
      <x:c r="N113" s="1" t="str">
        <x:v>6898be28591c4e1abe73f83f56b307e4</x:v>
      </x:c>
      <x:c r="O113" s="1" t="str">
        <x:v>Admin Office - 1</x:v>
      </x:c>
      <x:c r="P113" s="1" t="n">
        <x:v>1</x:v>
      </x:c>
      <x:c r="Q113" s="1" t="str">
        <x:v>standard_mode_logs</x:v>
      </x:c>
      <x:c r="R113" s="1" t="n">
        <x:v>28</x:v>
      </x:c>
      <x:c r="S113" s="1" t="str">
        <x:v>Successful entry</x:v>
      </x:c>
      <x:c r="T113" s="1" t="n">
        <x:v>2</x:v>
      </x:c>
      <x:c r="U113" s="5" t="str"/>
      <x:c r="V113" s="1" t="n">
        <x:v>1</x:v>
      </x:c>
      <x:c r="W113" s="1" t="n">
        <x:v>1</x:v>
      </x:c>
      <x:c r="X113" s="1" t="str">
        <x:v>GRANTED</x:v>
      </x:c>
      <x:c r="Y113" s="1" t="n">
        <x:f>IF(V113=1,IF(E113="GRANTED",IF(X113="GRANTED",1,0),IF(X113="DENIED",1,0)),0)</x:f>
        <x:v>1</x:v>
      </x:c>
    </x:row>
    <x:row r="114" ht="23" customHeight="1">
      <x:c r="A114" s="9" t="n">
        <x:v>46246.489027557865</x:v>
      </x:c>
      <x:c r="B114" s="1" t="str">
        <x:v>Maria Clara</x:v>
      </x:c>
      <x:c r="C114" s="1" t="str">
        <x:v>Entry</x:v>
      </x:c>
      <x:c r="D114" s="1" t="str">
        <x:v>Standard</x:v>
      </x:c>
      <x:c r="E114" s="1" t="str">
        <x:v>GRANTED</x:v>
      </x:c>
      <x:c r="F114" s="11" t="n">
        <x:v>11.1719</x:v>
      </x:c>
      <x:c r="G114" s="11" t="n">
        <x:v>2859.032</x:v>
      </x:c>
      <x:c r="H114" s="11" t="n">
        <x:v>38.0093</x:v>
      </x:c>
      <x:c r="I114" s="11" t="str">
        <x:v>N/A (Bypassed)</x:v>
      </x:c>
      <x:c r="J114" s="11" t="str">
        <x:v>N/A (Bypassed)</x:v>
      </x:c>
      <x:c r="K114" s="11" t="n">
        <x:v>2859.032</x:v>
      </x:c>
      <x:c r="L114" s="11" t="n">
        <x:v>49.1812</x:v>
      </x:c>
      <x:c r="M114" s="11" t="n">
        <x:v>41.9457</x:v>
      </x:c>
      <x:c r="N114" s="1" t="str">
        <x:v>6898be28591c4e1abe73f83f56b307e4</x:v>
      </x:c>
      <x:c r="O114" s="1" t="str">
        <x:v>Admin Office - 1</x:v>
      </x:c>
      <x:c r="P114" s="1" t="n">
        <x:v>1</x:v>
      </x:c>
      <x:c r="Q114" s="1" t="str">
        <x:v>standard_mode_logs</x:v>
      </x:c>
      <x:c r="R114" s="1" t="n">
        <x:v>29</x:v>
      </x:c>
      <x:c r="S114" s="1" t="str">
        <x:v>Successful entry</x:v>
      </x:c>
      <x:c r="T114" s="1" t="n">
        <x:v>2</x:v>
      </x:c>
      <x:c r="U114" s="5" t="str"/>
      <x:c r="V114" s="1" t="n">
        <x:v>1</x:v>
      </x:c>
      <x:c r="W114" s="1" t="n">
        <x:v>1</x:v>
      </x:c>
      <x:c r="X114" s="1" t="str">
        <x:v>GRANTED</x:v>
      </x:c>
      <x:c r="Y114" s="1" t="n">
        <x:f>IF(V114=1,IF(E114="GRANTED",IF(X114="GRANTED",1,0),IF(X114="DENIED",1,0)),0)</x:f>
        <x:v>1</x:v>
      </x:c>
    </x:row>
    <x:row r="115" ht="23" customHeight="1">
      <x:c r="A115" s="12" t="n">
        <x:v>46246.48891983797</x:v>
      </x:c>
      <x:c r="B115" s="13" t="str">
        <x:v>Juana Dela Cruz</x:v>
      </x:c>
      <x:c r="C115" s="13" t="str">
        <x:v>Entry</x:v>
      </x:c>
      <x:c r="D115" s="13" t="str">
        <x:v>Standard</x:v>
      </x:c>
      <x:c r="E115" s="13" t="str">
        <x:v>DENIED [ANTI_TAILGATING_VIOLATION]</x:v>
      </x:c>
      <x:c r="F115" s="14" t="n">
        <x:v>5.1904</x:v>
      </x:c>
      <x:c r="G115" s="14" t="str">
        <x:v>N/A (Bypassed)</x:v>
      </x:c>
      <x:c r="H115" s="14" t="str">
        <x:v>N/A (Bypassed)</x:v>
      </x:c>
      <x:c r="I115" s="14" t="str">
        <x:v>N/A (Bypassed)</x:v>
      </x:c>
      <x:c r="J115" s="14" t="str">
        <x:v>N/A (Bypassed)</x:v>
      </x:c>
      <x:c r="K115" s="14" t="str">
        <x:v>N/A</x:v>
      </x:c>
      <x:c r="L115" s="14" t="n">
        <x:v>5.1904</x:v>
      </x:c>
      <x:c r="M115" s="14" t="n">
        <x:v>4.7253</x:v>
      </x:c>
      <x:c r="N115" s="13" t="str">
        <x:v>6898be28591c4e1abe73f83f56b307e4</x:v>
      </x:c>
      <x:c r="O115" s="13" t="str">
        <x:v>Admin Office - 1</x:v>
      </x:c>
      <x:c r="P115" s="13" t="n">
        <x:v>1</x:v>
      </x:c>
      <x:c r="Q115" s="13" t="str">
        <x:v>standard_mode_logs</x:v>
      </x:c>
      <x:c r="R115" s="13" t="n">
        <x:v>30</x:v>
      </x:c>
      <x:c r="S115" s="13" t="str">
        <x:v>Denied record</x:v>
      </x:c>
      <x:c r="T115" s="13"/>
      <x:c r="U115" s="15" t="str"/>
      <x:c r="V115" s="1" t="n">
        <x:v>0</x:v>
      </x:c>
      <x:c r="W115" s="1" t="n">
        <x:v>0</x:v>
      </x:c>
      <x:c r="X115" s="1" t="str">
        <x:v>Not applicable</x:v>
      </x:c>
      <x:c r="Y115" s="1" t="n">
        <x:f>IF(V115=1,IF(E115="GRANTED",IF(X115="GRANTED",1,0),IF(X115="DENIED",1,0)),0)</x:f>
        <x:v>0</x:v>
      </x:c>
    </x:row>
    <x:row r="116" ht="23" customHeight="1">
      <x:c r="A116" s="9" t="n">
        <x:v>46246.4888721412</x:v>
      </x:c>
      <x:c r="B116" s="1" t="str">
        <x:v>Juana Dela Cruz</x:v>
      </x:c>
      <x:c r="C116" s="1" t="str">
        <x:v>Entry</x:v>
      </x:c>
      <x:c r="D116" s="1" t="str">
        <x:v>Standard</x:v>
      </x:c>
      <x:c r="E116" s="1" t="str">
        <x:v>GRANTED</x:v>
      </x:c>
      <x:c r="F116" s="11" t="n">
        <x:v>11.7052</x:v>
      </x:c>
      <x:c r="G116" s="11" t="n">
        <x:v>6655.2474</x:v>
      </x:c>
      <x:c r="H116" s="11" t="n">
        <x:v>41.3058</x:v>
      </x:c>
      <x:c r="I116" s="11" t="str">
        <x:v>N/A (Bypassed)</x:v>
      </x:c>
      <x:c r="J116" s="11" t="str">
        <x:v>N/A (Bypassed)</x:v>
      </x:c>
      <x:c r="K116" s="11" t="n">
        <x:v>6655.2474</x:v>
      </x:c>
      <x:c r="L116" s="11" t="n">
        <x:v>53.011</x:v>
      </x:c>
      <x:c r="M116" s="11" t="n">
        <x:v>44.0396</x:v>
      </x:c>
      <x:c r="N116" s="1" t="str">
        <x:v>6898be28591c4e1abe73f83f56b307e4</x:v>
      </x:c>
      <x:c r="O116" s="1" t="str">
        <x:v>Admin Office - 1</x:v>
      </x:c>
      <x:c r="P116" s="1" t="n">
        <x:v>1</x:v>
      </x:c>
      <x:c r="Q116" s="1" t="str">
        <x:v>standard_mode_logs</x:v>
      </x:c>
      <x:c r="R116" s="1" t="n">
        <x:v>31</x:v>
      </x:c>
      <x:c r="S116" s="1" t="str">
        <x:v>Successful entry</x:v>
      </x:c>
      <x:c r="T116" s="1" t="n">
        <x:v>2</x:v>
      </x:c>
      <x:c r="U116" s="5" t="str"/>
      <x:c r="V116" s="1" t="n">
        <x:v>1</x:v>
      </x:c>
      <x:c r="W116" s="1" t="n">
        <x:v>1</x:v>
      </x:c>
      <x:c r="X116" s="1" t="str">
        <x:v>GRANTED</x:v>
      </x:c>
      <x:c r="Y116" s="1" t="n">
        <x:f>IF(V116=1,IF(E116="GRANTED",IF(X116="GRANTED",1,0),IF(X116="DENIED",1,0)),0)</x:f>
        <x:v>1</x:v>
      </x:c>
    </x:row>
    <x:row r="117" ht="23" customHeight="1">
      <x:c r="A117" s="9" t="n">
        <x:v>46246.48871954861</x:v>
      </x:c>
      <x:c r="B117" s="1" t="str">
        <x:v>Maria Dela Cruz</x:v>
      </x:c>
      <x:c r="C117" s="1" t="str">
        <x:v>Entry</x:v>
      </x:c>
      <x:c r="D117" s="1" t="str">
        <x:v>Standard</x:v>
      </x:c>
      <x:c r="E117" s="1" t="str">
        <x:v>GRANTED</x:v>
      </x:c>
      <x:c r="F117" s="11" t="n">
        <x:v>10.7369</x:v>
      </x:c>
      <x:c r="G117" s="11" t="n">
        <x:v>2364.5471</x:v>
      </x:c>
      <x:c r="H117" s="11" t="n">
        <x:v>40.2384</x:v>
      </x:c>
      <x:c r="I117" s="11" t="str">
        <x:v>N/A (Bypassed)</x:v>
      </x:c>
      <x:c r="J117" s="11" t="str">
        <x:v>N/A (Bypassed)</x:v>
      </x:c>
      <x:c r="K117" s="11" t="n">
        <x:v>2364.5471</x:v>
      </x:c>
      <x:c r="L117" s="11" t="n">
        <x:v>50.9753</x:v>
      </x:c>
      <x:c r="M117" s="11" t="n">
        <x:v>80.829</x:v>
      </x:c>
      <x:c r="N117" s="1" t="str">
        <x:v>6898be28591c4e1abe73f83f56b307e4</x:v>
      </x:c>
      <x:c r="O117" s="1" t="str">
        <x:v>Admin Office - 1</x:v>
      </x:c>
      <x:c r="P117" s="1" t="n">
        <x:v>1</x:v>
      </x:c>
      <x:c r="Q117" s="1" t="str">
        <x:v>standard_mode_logs</x:v>
      </x:c>
      <x:c r="R117" s="1" t="n">
        <x:v>32</x:v>
      </x:c>
      <x:c r="S117" s="1" t="str">
        <x:v>Successful entry</x:v>
      </x:c>
      <x:c r="T117" s="1" t="n">
        <x:v>2</x:v>
      </x:c>
      <x:c r="U117" s="5" t="str"/>
      <x:c r="V117" s="1" t="n">
        <x:v>1</x:v>
      </x:c>
      <x:c r="W117" s="1" t="n">
        <x:v>1</x:v>
      </x:c>
      <x:c r="X117" s="1" t="str">
        <x:v>GRANTED</x:v>
      </x:c>
      <x:c r="Y117" s="1" t="n">
        <x:f>IF(V117=1,IF(E117="GRANTED",IF(X117="GRANTED",1,0),IF(X117="DENIED",1,0)),0)</x:f>
        <x:v>1</x:v>
      </x:c>
    </x:row>
    <x:row r="118" ht="23" customHeight="1">
      <x:c r="A118" s="12" t="n">
        <x:v>46246.48865596065</x:v>
      </x:c>
      <x:c r="B118" s="13" t="str">
        <x:v>Maria Dela Cruz</x:v>
      </x:c>
      <x:c r="C118" s="13" t="str">
        <x:v>Entry</x:v>
      </x:c>
      <x:c r="D118" s="13" t="str">
        <x:v>Standard</x:v>
      </x:c>
      <x:c r="E118" s="13" t="str">
        <x:v>DENIED [PIN_FAILURE]</x:v>
      </x:c>
      <x:c r="F118" s="14" t="n">
        <x:v>10.7369</x:v>
      </x:c>
      <x:c r="G118" s="14" t="n">
        <x:v>2750.2715</x:v>
      </x:c>
      <x:c r="H118" s="14" t="n">
        <x:v>37.769</x:v>
      </x:c>
      <x:c r="I118" s="14" t="str">
        <x:v>N/A (Bypassed)</x:v>
      </x:c>
      <x:c r="J118" s="14" t="str">
        <x:v>N/A (Bypassed)</x:v>
      </x:c>
      <x:c r="K118" s="14" t="n">
        <x:v>2750.2715</x:v>
      </x:c>
      <x:c r="L118" s="14" t="n">
        <x:v>48.5059</x:v>
      </x:c>
      <x:c r="M118" s="14" t="n">
        <x:v>40.6245</x:v>
      </x:c>
      <x:c r="N118" s="13" t="str">
        <x:v>6898be28591c4e1abe73f83f56b307e4</x:v>
      </x:c>
      <x:c r="O118" s="13" t="str">
        <x:v>Admin Office - 1</x:v>
      </x:c>
      <x:c r="P118" s="13" t="n">
        <x:v>1</x:v>
      </x:c>
      <x:c r="Q118" s="13" t="str">
        <x:v>standard_mode_logs</x:v>
      </x:c>
      <x:c r="R118" s="13" t="n">
        <x:v>33</x:v>
      </x:c>
      <x:c r="S118" s="13" t="str">
        <x:v>Denied record</x:v>
      </x:c>
      <x:c r="T118" s="13"/>
      <x:c r="U118" s="15" t="str"/>
      <x:c r="V118" s="1" t="n">
        <x:v>1</x:v>
      </x:c>
      <x:c r="W118" s="1" t="n">
        <x:v>1</x:v>
      </x:c>
      <x:c r="X118" s="1" t="str">
        <x:v>DENIED</x:v>
      </x:c>
      <x:c r="Y118" s="1" t="n">
        <x:f>IF(V118=1,IF(E118="GRANTED",IF(X118="GRANTED",1,0),IF(X118="DENIED",1,0)),0)</x:f>
        <x:v>1</x:v>
      </x:c>
    </x:row>
    <x:row r="119" ht="23" customHeight="1">
      <x:c r="A119" s="9" t="n">
        <x:v>46246.48856462963</x:v>
      </x:c>
      <x:c r="B119" s="1" t="str">
        <x:v>Basilio Magbanua</x:v>
      </x:c>
      <x:c r="C119" s="1" t="str">
        <x:v>Entry</x:v>
      </x:c>
      <x:c r="D119" s="1" t="str">
        <x:v>Standard</x:v>
      </x:c>
      <x:c r="E119" s="1" t="str">
        <x:v>GRANTED</x:v>
      </x:c>
      <x:c r="F119" s="11" t="n">
        <x:v>12.0806</x:v>
      </x:c>
      <x:c r="G119" s="11" t="n">
        <x:v>2199.784</x:v>
      </x:c>
      <x:c r="H119" s="11" t="n">
        <x:v>36.3904</x:v>
      </x:c>
      <x:c r="I119" s="11" t="str">
        <x:v>N/A (Bypassed)</x:v>
      </x:c>
      <x:c r="J119" s="11" t="str">
        <x:v>N/A (Bypassed)</x:v>
      </x:c>
      <x:c r="K119" s="11" t="n">
        <x:v>2199.784</x:v>
      </x:c>
      <x:c r="L119" s="11" t="n">
        <x:v>48.471</x:v>
      </x:c>
      <x:c r="M119" s="11" t="n">
        <x:v>39.2928</x:v>
      </x:c>
      <x:c r="N119" s="1" t="str">
        <x:v>6898be28591c4e1abe73f83f56b307e4</x:v>
      </x:c>
      <x:c r="O119" s="1" t="str">
        <x:v>Admin Office - 1</x:v>
      </x:c>
      <x:c r="P119" s="1" t="n">
        <x:v>1</x:v>
      </x:c>
      <x:c r="Q119" s="1" t="str">
        <x:v>standard_mode_logs</x:v>
      </x:c>
      <x:c r="R119" s="1" t="n">
        <x:v>34</x:v>
      </x:c>
      <x:c r="S119" s="1" t="str">
        <x:v>Successful entry</x:v>
      </x:c>
      <x:c r="T119" s="1" t="n">
        <x:v>2</x:v>
      </x:c>
      <x:c r="U119" s="5" t="str"/>
      <x:c r="V119" s="1" t="n">
        <x:v>1</x:v>
      </x:c>
      <x:c r="W119" s="1" t="n">
        <x:v>1</x:v>
      </x:c>
      <x:c r="X119" s="1" t="str">
        <x:v>GRANTED</x:v>
      </x:c>
      <x:c r="Y119" s="1" t="n">
        <x:f>IF(V119=1,IF(E119="GRANTED",IF(X119="GRANTED",1,0),IF(X119="DENIED",1,0)),0)</x:f>
        <x:v>1</x:v>
      </x:c>
    </x:row>
    <x:row r="120" ht="23" customHeight="1">
      <x:c r="A120" s="9" t="n">
        <x:v>46246.488478495376</x:v>
      </x:c>
      <x:c r="B120" s="1" t="str">
        <x:v>Bayani Dela Rosa</x:v>
      </x:c>
      <x:c r="C120" s="1" t="str">
        <x:v>Entry</x:v>
      </x:c>
      <x:c r="D120" s="1" t="str">
        <x:v>Standard</x:v>
      </x:c>
      <x:c r="E120" s="1" t="str">
        <x:v>GRANTED</x:v>
      </x:c>
      <x:c r="F120" s="11" t="n">
        <x:v>10.6069</x:v>
      </x:c>
      <x:c r="G120" s="11" t="n">
        <x:v>1924.8829</x:v>
      </x:c>
      <x:c r="H120" s="11" t="n">
        <x:v>42.3899</x:v>
      </x:c>
      <x:c r="I120" s="11" t="str">
        <x:v>N/A (Bypassed)</x:v>
      </x:c>
      <x:c r="J120" s="11" t="str">
        <x:v>N/A (Bypassed)</x:v>
      </x:c>
      <x:c r="K120" s="11" t="n">
        <x:v>1924.8829</x:v>
      </x:c>
      <x:c r="L120" s="11" t="n">
        <x:v>52.9968</x:v>
      </x:c>
      <x:c r="M120" s="11" t="n">
        <x:v>83.5946</x:v>
      </x:c>
      <x:c r="N120" s="1" t="str">
        <x:v>6898be28591c4e1abe73f83f56b307e4</x:v>
      </x:c>
      <x:c r="O120" s="1" t="str">
        <x:v>Admin Office - 1</x:v>
      </x:c>
      <x:c r="P120" s="1" t="n">
        <x:v>1</x:v>
      </x:c>
      <x:c r="Q120" s="1" t="str">
        <x:v>standard_mode_logs</x:v>
      </x:c>
      <x:c r="R120" s="1" t="n">
        <x:v>35</x:v>
      </x:c>
      <x:c r="S120" s="1" t="str">
        <x:v>Successful entry</x:v>
      </x:c>
      <x:c r="T120" s="1" t="n">
        <x:v>2</x:v>
      </x:c>
      <x:c r="U120" s="5" t="str"/>
      <x:c r="V120" s="1" t="n">
        <x:v>1</x:v>
      </x:c>
      <x:c r="W120" s="1" t="n">
        <x:v>1</x:v>
      </x:c>
      <x:c r="X120" s="1" t="str">
        <x:v>GRANTED</x:v>
      </x:c>
      <x:c r="Y120" s="1" t="n">
        <x:f>IF(V120=1,IF(E120="GRANTED",IF(X120="GRANTED",1,0),IF(X120="DENIED",1,0)),0)</x:f>
        <x:v>1</x:v>
      </x:c>
    </x:row>
    <x:row r="121" ht="23" customHeight="1">
      <x:c r="A121" s="12" t="n">
        <x:v>46246.48842498843</x:v>
      </x:c>
      <x:c r="B121" s="13" t="str">
        <x:v>Bayani Dela Rosa</x:v>
      </x:c>
      <x:c r="C121" s="13" t="str">
        <x:v>Entry</x:v>
      </x:c>
      <x:c r="D121" s="13" t="str">
        <x:v>Standard</x:v>
      </x:c>
      <x:c r="E121" s="13" t="str">
        <x:v>DENIED [PIN_FAILURE]</x:v>
      </x:c>
      <x:c r="F121" s="14" t="n">
        <x:v>10.6069</x:v>
      </x:c>
      <x:c r="G121" s="14" t="n">
        <x:v>2365.6133</x:v>
      </x:c>
      <x:c r="H121" s="14" t="n">
        <x:v>38.5363</x:v>
      </x:c>
      <x:c r="I121" s="14" t="str">
        <x:v>N/A (Bypassed)</x:v>
      </x:c>
      <x:c r="J121" s="14" t="str">
        <x:v>N/A (Bypassed)</x:v>
      </x:c>
      <x:c r="K121" s="14" t="n">
        <x:v>2365.6133</x:v>
      </x:c>
      <x:c r="L121" s="14" t="n">
        <x:v>49.1432</x:v>
      </x:c>
      <x:c r="M121" s="14" t="n">
        <x:v>41.2324</x:v>
      </x:c>
      <x:c r="N121" s="13" t="str">
        <x:v>6898be28591c4e1abe73f83f56b307e4</x:v>
      </x:c>
      <x:c r="O121" s="13" t="str">
        <x:v>Admin Office - 1</x:v>
      </x:c>
      <x:c r="P121" s="13" t="n">
        <x:v>1</x:v>
      </x:c>
      <x:c r="Q121" s="13" t="str">
        <x:v>standard_mode_logs</x:v>
      </x:c>
      <x:c r="R121" s="13" t="n">
        <x:v>36</x:v>
      </x:c>
      <x:c r="S121" s="13" t="str">
        <x:v>Denied record</x:v>
      </x:c>
      <x:c r="T121" s="13"/>
      <x:c r="U121" s="15" t="str"/>
      <x:c r="V121" s="1" t="n">
        <x:v>1</x:v>
      </x:c>
      <x:c r="W121" s="1" t="n">
        <x:v>1</x:v>
      </x:c>
      <x:c r="X121" s="1" t="str">
        <x:v>DENIED</x:v>
      </x:c>
      <x:c r="Y121" s="1" t="n">
        <x:f>IF(V121=1,IF(E121="GRANTED",IF(X121="GRANTED",1,0),IF(X121="DENIED",1,0)),0)</x:f>
        <x:v>1</x:v>
      </x:c>
    </x:row>
    <x:row r="122" ht="23" customHeight="1">
      <x:c r="A122" s="9" t="n">
        <x:v>46246.488352291664</x:v>
      </x:c>
      <x:c r="B122" s="1" t="str">
        <x:v>Jose Mari Bautista</x:v>
      </x:c>
      <x:c r="C122" s="1" t="str">
        <x:v>Entry</x:v>
      </x:c>
      <x:c r="D122" s="1" t="str">
        <x:v>Standard</x:v>
      </x:c>
      <x:c r="E122" s="1" t="str">
        <x:v>GRANTED</x:v>
      </x:c>
      <x:c r="F122" s="11" t="n">
        <x:v>11.4355</x:v>
      </x:c>
      <x:c r="G122" s="11" t="n">
        <x:v>1704.7653</x:v>
      </x:c>
      <x:c r="H122" s="11" t="n">
        <x:v>40.1051</x:v>
      </x:c>
      <x:c r="I122" s="11" t="str">
        <x:v>N/A (Bypassed)</x:v>
      </x:c>
      <x:c r="J122" s="11" t="str">
        <x:v>N/A (Bypassed)</x:v>
      </x:c>
      <x:c r="K122" s="11" t="n">
        <x:v>1704.7653</x:v>
      </x:c>
      <x:c r="L122" s="11" t="n">
        <x:v>51.5406</x:v>
      </x:c>
      <x:c r="M122" s="11" t="n">
        <x:v>42.6222</x:v>
      </x:c>
      <x:c r="N122" s="1" t="str">
        <x:v>6898be28591c4e1abe73f83f56b307e4</x:v>
      </x:c>
      <x:c r="O122" s="1" t="str">
        <x:v>Admin Office - 1</x:v>
      </x:c>
      <x:c r="P122" s="1" t="n">
        <x:v>1</x:v>
      </x:c>
      <x:c r="Q122" s="1" t="str">
        <x:v>standard_mode_logs</x:v>
      </x:c>
      <x:c r="R122" s="1" t="n">
        <x:v>37</x:v>
      </x:c>
      <x:c r="S122" s="1" t="str">
        <x:v>Successful entry</x:v>
      </x:c>
      <x:c r="T122" s="1" t="n">
        <x:v>2</x:v>
      </x:c>
      <x:c r="U122" s="5" t="str"/>
      <x:c r="V122" s="1" t="n">
        <x:v>1</x:v>
      </x:c>
      <x:c r="W122" s="1" t="n">
        <x:v>1</x:v>
      </x:c>
      <x:c r="X122" s="1" t="str">
        <x:v>GRANTED</x:v>
      </x:c>
      <x:c r="Y122" s="1" t="n">
        <x:f>IF(V122=1,IF(E122="GRANTED",IF(X122="GRANTED",1,0),IF(X122="DENIED",1,0)),0)</x:f>
        <x:v>1</x:v>
      </x:c>
    </x:row>
    <x:row r="123" ht="23" customHeight="1">
      <x:c r="A123" s="9" t="n">
        <x:v>46246.488287395834</x:v>
      </x:c>
      <x:c r="B123" s="1" t="str">
        <x:v>Angelito Fernandez</x:v>
      </x:c>
      <x:c r="C123" s="1" t="str">
        <x:v>Entry</x:v>
      </x:c>
      <x:c r="D123" s="1" t="str">
        <x:v>Standard</x:v>
      </x:c>
      <x:c r="E123" s="1" t="str">
        <x:v>GRANTED</x:v>
      </x:c>
      <x:c r="F123" s="11" t="n">
        <x:v>10.7819</x:v>
      </x:c>
      <x:c r="G123" s="11" t="n">
        <x:v>1650.0672</x:v>
      </x:c>
      <x:c r="H123" s="11" t="n">
        <x:v>38.7403</x:v>
      </x:c>
      <x:c r="I123" s="11" t="str">
        <x:v>N/A (Bypassed)</x:v>
      </x:c>
      <x:c r="J123" s="11" t="str">
        <x:v>N/A (Bypassed)</x:v>
      </x:c>
      <x:c r="K123" s="11" t="n">
        <x:v>1650.0672</x:v>
      </x:c>
      <x:c r="L123" s="11" t="n">
        <x:v>49.5222</x:v>
      </x:c>
      <x:c r="M123" s="11" t="n">
        <x:v>41.7491</x:v>
      </x:c>
      <x:c r="N123" s="1" t="str">
        <x:v>6898be28591c4e1abe73f83f56b307e4</x:v>
      </x:c>
      <x:c r="O123" s="1" t="str">
        <x:v>Admin Office - 1</x:v>
      </x:c>
      <x:c r="P123" s="1" t="n">
        <x:v>1</x:v>
      </x:c>
      <x:c r="Q123" s="1" t="str">
        <x:v>standard_mode_logs</x:v>
      </x:c>
      <x:c r="R123" s="1" t="n">
        <x:v>38</x:v>
      </x:c>
      <x:c r="S123" s="1" t="str">
        <x:v>Successful entry</x:v>
      </x:c>
      <x:c r="T123" s="1" t="n">
        <x:v>2</x:v>
      </x:c>
      <x:c r="U123" s="5" t="str"/>
      <x:c r="V123" s="1" t="n">
        <x:v>1</x:v>
      </x:c>
      <x:c r="W123" s="1" t="n">
        <x:v>1</x:v>
      </x:c>
      <x:c r="X123" s="1" t="str">
        <x:v>GRANTED</x:v>
      </x:c>
      <x:c r="Y123" s="1" t="n">
        <x:f>IF(V123=1,IF(E123="GRANTED",IF(X123="GRANTED",1,0),IF(X123="DENIED",1,0)),0)</x:f>
        <x:v>1</x:v>
      </x:c>
    </x:row>
    <x:row r="124" ht="23" customHeight="1">
      <x:c r="A124" s="9" t="n">
        <x:v>46246.488206608796</x:v>
      </x:c>
      <x:c r="B124" s="1" t="str">
        <x:v>Roberto Ramos</x:v>
      </x:c>
      <x:c r="C124" s="1" t="str">
        <x:v>Entry</x:v>
      </x:c>
      <x:c r="D124" s="1" t="str">
        <x:v>Standard</x:v>
      </x:c>
      <x:c r="E124" s="1" t="str">
        <x:v>GRANTED</x:v>
      </x:c>
      <x:c r="F124" s="11" t="n">
        <x:v>9.4705</x:v>
      </x:c>
      <x:c r="G124" s="11" t="n">
        <x:v>2200.7937</x:v>
      </x:c>
      <x:c r="H124" s="11" t="n">
        <x:v>38.7028</x:v>
      </x:c>
      <x:c r="I124" s="11" t="str">
        <x:v>N/A (Bypassed)</x:v>
      </x:c>
      <x:c r="J124" s="11" t="str">
        <x:v>N/A (Bypassed)</x:v>
      </x:c>
      <x:c r="K124" s="11" t="n">
        <x:v>2200.7937</x:v>
      </x:c>
      <x:c r="L124" s="11" t="n">
        <x:v>48.1733</x:v>
      </x:c>
      <x:c r="M124" s="11" t="n">
        <x:v>41.3348</x:v>
      </x:c>
      <x:c r="N124" s="1" t="str">
        <x:v>6898be28591c4e1abe73f83f56b307e4</x:v>
      </x:c>
      <x:c r="O124" s="1" t="str">
        <x:v>Admin Office - 1</x:v>
      </x:c>
      <x:c r="P124" s="1" t="n">
        <x:v>1</x:v>
      </x:c>
      <x:c r="Q124" s="1" t="str">
        <x:v>standard_mode_logs</x:v>
      </x:c>
      <x:c r="R124" s="1" t="n">
        <x:v>39</x:v>
      </x:c>
      <x:c r="S124" s="1" t="str">
        <x:v>Successful entry</x:v>
      </x:c>
      <x:c r="T124" s="1" t="n">
        <x:v>2</x:v>
      </x:c>
      <x:c r="U124" s="5" t="str"/>
      <x:c r="V124" s="1" t="n">
        <x:v>1</x:v>
      </x:c>
      <x:c r="W124" s="1" t="n">
        <x:v>1</x:v>
      </x:c>
      <x:c r="X124" s="1" t="str">
        <x:v>GRANTED</x:v>
      </x:c>
      <x:c r="Y124" s="1" t="n">
        <x:f>IF(V124=1,IF(E124="GRANTED",IF(X124="GRANTED",1,0),IF(X124="DENIED",1,0)),0)</x:f>
        <x:v>1</x:v>
      </x:c>
    </x:row>
    <x:row r="125" ht="23" customHeight="1">
      <x:c r="A125" s="9" t="n">
        <x:v>46246.488132928236</x:v>
      </x:c>
      <x:c r="B125" s="1" t="str">
        <x:v>Juanito Delos Santos</x:v>
      </x:c>
      <x:c r="C125" s="1" t="str">
        <x:v>Entry</x:v>
      </x:c>
      <x:c r="D125" s="1" t="str">
        <x:v>Standard</x:v>
      </x:c>
      <x:c r="E125" s="1" t="str">
        <x:v>GRANTED</x:v>
      </x:c>
      <x:c r="F125" s="11" t="n">
        <x:v>13.0403</x:v>
      </x:c>
      <x:c r="G125" s="11" t="n">
        <x:v>1649.5563</x:v>
      </x:c>
      <x:c r="H125" s="11" t="n">
        <x:v>41.4026</x:v>
      </x:c>
      <x:c r="I125" s="11" t="str">
        <x:v>N/A (Bypassed)</x:v>
      </x:c>
      <x:c r="J125" s="11" t="str">
        <x:v>N/A (Bypassed)</x:v>
      </x:c>
      <x:c r="K125" s="11" t="n">
        <x:v>1649.5563</x:v>
      </x:c>
      <x:c r="L125" s="11" t="n">
        <x:v>54.4429</x:v>
      </x:c>
      <x:c r="M125" s="11" t="n">
        <x:v>46.2788</x:v>
      </x:c>
      <x:c r="N125" s="1" t="str">
        <x:v>6898be28591c4e1abe73f83f56b307e4</x:v>
      </x:c>
      <x:c r="O125" s="1" t="str">
        <x:v>Admin Office - 1</x:v>
      </x:c>
      <x:c r="P125" s="1" t="n">
        <x:v>1</x:v>
      </x:c>
      <x:c r="Q125" s="1" t="str">
        <x:v>standard_mode_logs</x:v>
      </x:c>
      <x:c r="R125" s="1" t="n">
        <x:v>40</x:v>
      </x:c>
      <x:c r="S125" s="1" t="str">
        <x:v>Successful entry</x:v>
      </x:c>
      <x:c r="T125" s="1" t="n">
        <x:v>2</x:v>
      </x:c>
      <x:c r="U125" s="5" t="str"/>
      <x:c r="V125" s="1" t="n">
        <x:v>1</x:v>
      </x:c>
      <x:c r="W125" s="1" t="n">
        <x:v>1</x:v>
      </x:c>
      <x:c r="X125" s="1" t="str">
        <x:v>GRANTED</x:v>
      </x:c>
      <x:c r="Y125" s="1" t="n">
        <x:f>IF(V125=1,IF(E125="GRANTED",IF(X125="GRANTED",1,0),IF(X125="DENIED",1,0)),0)</x:f>
        <x:v>1</x:v>
      </x:c>
    </x:row>
    <x:row r="126" ht="23" customHeight="1">
      <x:c r="A126" s="9" t="n">
        <x:v>46246.48807054399</x:v>
      </x:c>
      <x:c r="B126" s="1" t="str">
        <x:v>[TEMP] Manuel Mendoza</x:v>
      </x:c>
      <x:c r="C126" s="1" t="str">
        <x:v>Entry</x:v>
      </x:c>
      <x:c r="D126" s="1" t="str">
        <x:v>Standard</x:v>
      </x:c>
      <x:c r="E126" s="1" t="str">
        <x:v>GRANTED</x:v>
      </x:c>
      <x:c r="F126" s="11" t="n">
        <x:v>11.7198</x:v>
      </x:c>
      <x:c r="G126" s="11" t="n">
        <x:v>2309.8369</x:v>
      </x:c>
      <x:c r="H126" s="11" t="n">
        <x:v>38.2538</x:v>
      </x:c>
      <x:c r="I126" s="11" t="str">
        <x:v>N/A (Bypassed)</x:v>
      </x:c>
      <x:c r="J126" s="11" t="str">
        <x:v>N/A (Bypassed)</x:v>
      </x:c>
      <x:c r="K126" s="11" t="n">
        <x:v>2309.8369</x:v>
      </x:c>
      <x:c r="L126" s="11" t="n">
        <x:v>49.9736</x:v>
      </x:c>
      <x:c r="M126" s="11" t="n">
        <x:v>41.1234</x:v>
      </x:c>
      <x:c r="N126" s="1" t="str">
        <x:v>6898be28591c4e1abe73f83f56b307e4</x:v>
      </x:c>
      <x:c r="O126" s="1" t="str">
        <x:v>Admin Office - 1</x:v>
      </x:c>
      <x:c r="P126" s="1" t="n">
        <x:v>1</x:v>
      </x:c>
      <x:c r="Q126" s="1" t="str">
        <x:v>standard_mode_logs</x:v>
      </x:c>
      <x:c r="R126" s="1" t="n">
        <x:v>41</x:v>
      </x:c>
      <x:c r="S126" s="1" t="str">
        <x:v>Successful entry</x:v>
      </x:c>
      <x:c r="T126" s="1" t="n">
        <x:v>2</x:v>
      </x:c>
      <x:c r="U126" s="5" t="str"/>
      <x:c r="V126" s="1" t="n">
        <x:v>1</x:v>
      </x:c>
      <x:c r="W126" s="1" t="n">
        <x:v>1</x:v>
      </x:c>
      <x:c r="X126" s="1" t="str">
        <x:v>GRANTED</x:v>
      </x:c>
      <x:c r="Y126" s="1" t="n">
        <x:f>IF(V126=1,IF(E126="GRANTED",IF(X126="GRANTED",1,0),IF(X126="DENIED",1,0)),0)</x:f>
        <x:v>1</x:v>
      </x:c>
    </x:row>
    <x:row r="127" ht="23" customHeight="1">
      <x:c r="A127" s="9" t="n">
        <x:v>46246.48798024305</x:v>
      </x:c>
      <x:c r="B127" s="1" t="str">
        <x:v>Francisco Garcia</x:v>
      </x:c>
      <x:c r="C127" s="1" t="str">
        <x:v>Entry</x:v>
      </x:c>
      <x:c r="D127" s="1" t="str">
        <x:v>Standard</x:v>
      </x:c>
      <x:c r="E127" s="1" t="str">
        <x:v>GRANTED</x:v>
      </x:c>
      <x:c r="F127" s="11" t="n">
        <x:v>12.1741</x:v>
      </x:c>
      <x:c r="G127" s="11" t="n">
        <x:v>1924.6548</x:v>
      </x:c>
      <x:c r="H127" s="11" t="n">
        <x:v>37.5864</x:v>
      </x:c>
      <x:c r="I127" s="11" t="str">
        <x:v>N/A (Bypassed)</x:v>
      </x:c>
      <x:c r="J127" s="11" t="str">
        <x:v>N/A (Bypassed)</x:v>
      </x:c>
      <x:c r="K127" s="11" t="n">
        <x:v>1924.6548</x:v>
      </x:c>
      <x:c r="L127" s="11" t="n">
        <x:v>49.7605</x:v>
      </x:c>
      <x:c r="M127" s="11" t="n">
        <x:v>41.9258</x:v>
      </x:c>
      <x:c r="N127" s="1" t="str">
        <x:v>6898be28591c4e1abe73f83f56b307e4</x:v>
      </x:c>
      <x:c r="O127" s="1" t="str">
        <x:v>Admin Office - 1</x:v>
      </x:c>
      <x:c r="P127" s="1" t="n">
        <x:v>1</x:v>
      </x:c>
      <x:c r="Q127" s="1" t="str">
        <x:v>standard_mode_logs</x:v>
      </x:c>
      <x:c r="R127" s="1" t="n">
        <x:v>42</x:v>
      </x:c>
      <x:c r="S127" s="1" t="str">
        <x:v>Successful entry</x:v>
      </x:c>
      <x:c r="T127" s="1" t="n">
        <x:v>2</x:v>
      </x:c>
      <x:c r="U127" s="5" t="str"/>
      <x:c r="V127" s="1" t="n">
        <x:v>1</x:v>
      </x:c>
      <x:c r="W127" s="1" t="n">
        <x:v>1</x:v>
      </x:c>
      <x:c r="X127" s="1" t="str">
        <x:v>GRANTED</x:v>
      </x:c>
      <x:c r="Y127" s="1" t="n">
        <x:f>IF(V127=1,IF(E127="GRANTED",IF(X127="GRANTED",1,0),IF(X127="DENIED",1,0)),0)</x:f>
        <x:v>1</x:v>
      </x:c>
    </x:row>
    <x:row r="128" ht="23" customHeight="1">
      <x:c r="A128" s="9" t="n">
        <x:v>46246.48790266203</x:v>
      </x:c>
      <x:c r="B128" s="1" t="str">
        <x:v>[TEMP] Pedro Reyes</x:v>
      </x:c>
      <x:c r="C128" s="1" t="str">
        <x:v>Entry</x:v>
      </x:c>
      <x:c r="D128" s="1" t="str">
        <x:v>Standard</x:v>
      </x:c>
      <x:c r="E128" s="1" t="str">
        <x:v>GRANTED</x:v>
      </x:c>
      <x:c r="F128" s="11" t="n">
        <x:v>10.2658</x:v>
      </x:c>
      <x:c r="G128" s="11" t="n">
        <x:v>3629.8615</x:v>
      </x:c>
      <x:c r="H128" s="11" t="n">
        <x:v>39.219</x:v>
      </x:c>
      <x:c r="I128" s="11" t="str">
        <x:v>N/A (Bypassed)</x:v>
      </x:c>
      <x:c r="J128" s="11" t="str">
        <x:v>N/A (Bypassed)</x:v>
      </x:c>
      <x:c r="K128" s="11" t="n">
        <x:v>3629.8615</x:v>
      </x:c>
      <x:c r="L128" s="11" t="n">
        <x:v>49.4848</x:v>
      </x:c>
      <x:c r="M128" s="11" t="n">
        <x:v>41.9721</x:v>
      </x:c>
      <x:c r="N128" s="1" t="str">
        <x:v>6898be28591c4e1abe73f83f56b307e4</x:v>
      </x:c>
      <x:c r="O128" s="1" t="str">
        <x:v>Admin Office - 1</x:v>
      </x:c>
      <x:c r="P128" s="1" t="n">
        <x:v>1</x:v>
      </x:c>
      <x:c r="Q128" s="1" t="str">
        <x:v>standard_mode_logs</x:v>
      </x:c>
      <x:c r="R128" s="1" t="n">
        <x:v>43</x:v>
      </x:c>
      <x:c r="S128" s="1" t="str">
        <x:v>Successful entry</x:v>
      </x:c>
      <x:c r="T128" s="1" t="n">
        <x:v>2</x:v>
      </x:c>
      <x:c r="U128" s="5" t="str"/>
      <x:c r="V128" s="1" t="n">
        <x:v>1</x:v>
      </x:c>
      <x:c r="W128" s="1" t="n">
        <x:v>1</x:v>
      </x:c>
      <x:c r="X128" s="1" t="str">
        <x:v>GRANTED</x:v>
      </x:c>
      <x:c r="Y128" s="1" t="n">
        <x:f>IF(V128=1,IF(E128="GRANTED",IF(X128="GRANTED",1,0),IF(X128="DENIED",1,0)),0)</x:f>
        <x:v>1</x:v>
      </x:c>
    </x:row>
    <x:row r="129" ht="23" customHeight="1">
      <x:c r="A129" s="9" t="n">
        <x:v>46246.48777565973</x:v>
      </x:c>
      <x:c r="B129" s="1" t="str">
        <x:v>[TEMP] Jose Santos</x:v>
      </x:c>
      <x:c r="C129" s="1" t="str">
        <x:v>Entry</x:v>
      </x:c>
      <x:c r="D129" s="1" t="str">
        <x:v>Standard</x:v>
      </x:c>
      <x:c r="E129" s="1" t="str">
        <x:v>GRANTED</x:v>
      </x:c>
      <x:c r="F129" s="11" t="n">
        <x:v>12.1418</x:v>
      </x:c>
      <x:c r="G129" s="11" t="n">
        <x:v>2695.0871</x:v>
      </x:c>
      <x:c r="H129" s="11" t="n">
        <x:v>38.0377</x:v>
      </x:c>
      <x:c r="I129" s="11" t="str">
        <x:v>N/A (Bypassed)</x:v>
      </x:c>
      <x:c r="J129" s="11" t="str">
        <x:v>N/A (Bypassed)</x:v>
      </x:c>
      <x:c r="K129" s="11" t="n">
        <x:v>2695.0871</x:v>
      </x:c>
      <x:c r="L129" s="11" t="n">
        <x:v>50.1795</x:v>
      </x:c>
      <x:c r="M129" s="11" t="n">
        <x:v>79.6999</x:v>
      </x:c>
      <x:c r="N129" s="1" t="str">
        <x:v>6898be28591c4e1abe73f83f56b307e4</x:v>
      </x:c>
      <x:c r="O129" s="1" t="str">
        <x:v>Admin Office - 1</x:v>
      </x:c>
      <x:c r="P129" s="1" t="n">
        <x:v>1</x:v>
      </x:c>
      <x:c r="Q129" s="1" t="str">
        <x:v>standard_mode_logs</x:v>
      </x:c>
      <x:c r="R129" s="1" t="n">
        <x:v>44</x:v>
      </x:c>
      <x:c r="S129" s="1" t="str">
        <x:v>Successful entry</x:v>
      </x:c>
      <x:c r="T129" s="1" t="n">
        <x:v>2</x:v>
      </x:c>
      <x:c r="U129" s="5" t="str"/>
      <x:c r="V129" s="1" t="n">
        <x:v>1</x:v>
      </x:c>
      <x:c r="W129" s="1" t="n">
        <x:v>1</x:v>
      </x:c>
      <x:c r="X129" s="1" t="str">
        <x:v>GRANTED</x:v>
      </x:c>
      <x:c r="Y129" s="1" t="n">
        <x:f>IF(V129=1,IF(E129="GRANTED",IF(X129="GRANTED",1,0),IF(X129="DENIED",1,0)),0)</x:f>
        <x:v>1</x:v>
      </x:c>
    </x:row>
    <x:row r="130" ht="23" customHeight="1">
      <x:c r="A130" s="12" t="n">
        <x:v>46246.48772027778</x:v>
      </x:c>
      <x:c r="B130" s="13" t="str">
        <x:v>[TEMP] Jose Santos</x:v>
      </x:c>
      <x:c r="C130" s="13" t="str">
        <x:v>Entry</x:v>
      </x:c>
      <x:c r="D130" s="13" t="str">
        <x:v>Standard</x:v>
      </x:c>
      <x:c r="E130" s="13" t="str">
        <x:v>DENIED [PIN_FAILURE]</x:v>
      </x:c>
      <x:c r="F130" s="14" t="n">
        <x:v>12.1418</x:v>
      </x:c>
      <x:c r="G130" s="14" t="n">
        <x:v>3466.1009</x:v>
      </x:c>
      <x:c r="H130" s="14" t="n">
        <x:v>38.6501</x:v>
      </x:c>
      <x:c r="I130" s="14" t="str">
        <x:v>N/A (Bypassed)</x:v>
      </x:c>
      <x:c r="J130" s="14" t="str">
        <x:v>N/A (Bypassed)</x:v>
      </x:c>
      <x:c r="K130" s="14" t="n">
        <x:v>3466.1009</x:v>
      </x:c>
      <x:c r="L130" s="14" t="n">
        <x:v>50.7919</x:v>
      </x:c>
      <x:c r="M130" s="14" t="n">
        <x:v>41.6828</x:v>
      </x:c>
      <x:c r="N130" s="13" t="str">
        <x:v>6898be28591c4e1abe73f83f56b307e4</x:v>
      </x:c>
      <x:c r="O130" s="13" t="str">
        <x:v>Admin Office - 1</x:v>
      </x:c>
      <x:c r="P130" s="13" t="n">
        <x:v>1</x:v>
      </x:c>
      <x:c r="Q130" s="13" t="str">
        <x:v>standard_mode_logs</x:v>
      </x:c>
      <x:c r="R130" s="13" t="n">
        <x:v>45</x:v>
      </x:c>
      <x:c r="S130" s="13" t="str">
        <x:v>Denied record</x:v>
      </x:c>
      <x:c r="T130" s="13"/>
      <x:c r="U130" s="15" t="str"/>
      <x:c r="V130" s="1" t="n">
        <x:v>1</x:v>
      </x:c>
      <x:c r="W130" s="1" t="n">
        <x:v>1</x:v>
      </x:c>
      <x:c r="X130" s="1" t="str">
        <x:v>DENIED</x:v>
      </x:c>
      <x:c r="Y130" s="1" t="n">
        <x:f>IF(V130=1,IF(E130="GRANTED",IF(X130="GRANTED",1,0),IF(X130="DENIED",1,0)),0)</x:f>
        <x:v>1</x:v>
      </x:c>
    </x:row>
    <x:row r="131" ht="23" customHeight="1">
      <x:c r="A131" s="9" t="n">
        <x:v>46246.48759346065</x:v>
      </x:c>
      <x:c r="B131" s="1" t="str">
        <x:v>[TEMP] Juan Dela Cruz</x:v>
      </x:c>
      <x:c r="C131" s="1" t="str">
        <x:v>Entry</x:v>
      </x:c>
      <x:c r="D131" s="1" t="str">
        <x:v>Standard</x:v>
      </x:c>
      <x:c r="E131" s="1" t="str">
        <x:v>GRANTED</x:v>
      </x:c>
      <x:c r="F131" s="11" t="n">
        <x:v>9.4944</x:v>
      </x:c>
      <x:c r="G131" s="11" t="n">
        <x:v>1980.6406</x:v>
      </x:c>
      <x:c r="H131" s="11" t="n">
        <x:v>39.7385</x:v>
      </x:c>
      <x:c r="I131" s="11" t="str">
        <x:v>N/A (Bypassed)</x:v>
      </x:c>
      <x:c r="J131" s="11" t="str">
        <x:v>N/A (Bypassed)</x:v>
      </x:c>
      <x:c r="K131" s="11" t="n">
        <x:v>1980.6406</x:v>
      </x:c>
      <x:c r="L131" s="11" t="n">
        <x:v>49.2329</x:v>
      </x:c>
      <x:c r="M131" s="11" t="n">
        <x:v>40.3899</x:v>
      </x:c>
      <x:c r="N131" s="1" t="str">
        <x:v>6898be28591c4e1abe73f83f56b307e4</x:v>
      </x:c>
      <x:c r="O131" s="1" t="str">
        <x:v>Admin Office - 1</x:v>
      </x:c>
      <x:c r="P131" s="1" t="n">
        <x:v>1</x:v>
      </x:c>
      <x:c r="Q131" s="1" t="str">
        <x:v>standard_mode_logs</x:v>
      </x:c>
      <x:c r="R131" s="1" t="n">
        <x:v>46</x:v>
      </x:c>
      <x:c r="S131" s="1" t="str">
        <x:v>Successful entry</x:v>
      </x:c>
      <x:c r="T131" s="1" t="n">
        <x:v>2</x:v>
      </x:c>
      <x:c r="U131" s="5" t="str"/>
      <x:c r="V131" s="1" t="n">
        <x:v>1</x:v>
      </x:c>
      <x:c r="W131" s="1" t="n">
        <x:v>1</x:v>
      </x:c>
      <x:c r="X131" s="1" t="str">
        <x:v>GRANTED</x:v>
      </x:c>
      <x:c r="Y131" s="1" t="n">
        <x:f>IF(V131=1,IF(E131="GRANTED",IF(X131="GRANTED",1,0),IF(X131="DENIED",1,0)),0)</x:f>
        <x:v>1</x:v>
      </x:c>
    </x:row>
    <x:row r="132" ht="23" customHeight="1">
      <x:c r="A132" s="9" t="n">
        <x:v>46246.4873246875</x:v>
      </x:c>
      <x:c r="B132" s="1" t="str">
        <x:v>Pedro Penduko</x:v>
      </x:c>
      <x:c r="C132" s="1" t="str">
        <x:v>Exit</x:v>
      </x:c>
      <x:c r="D132" s="1" t="str">
        <x:v>Standard</x:v>
      </x:c>
      <x:c r="E132" s="1" t="str">
        <x:v>GRANTED</x:v>
      </x:c>
      <x:c r="F132" s="11" t="n">
        <x:v>10.0646</x:v>
      </x:c>
      <x:c r="G132" s="11" t="str">
        <x:v>N/A (Bypassed)</x:v>
      </x:c>
      <x:c r="H132" s="11" t="str">
        <x:v>N/A (Bypassed)</x:v>
      </x:c>
      <x:c r="I132" s="11" t="str">
        <x:v>N/A (Bypassed)</x:v>
      </x:c>
      <x:c r="J132" s="11" t="str">
        <x:v>N/A (Bypassed)</x:v>
      </x:c>
      <x:c r="K132" s="11" t="str">
        <x:v>N/A</x:v>
      </x:c>
      <x:c r="L132" s="11" t="n">
        <x:v>10.0646</x:v>
      </x:c>
      <x:c r="M132" s="11" t="n">
        <x:v>2.4884</x:v>
      </x:c>
      <x:c r="N132" s="1" t="str">
        <x:v>6898be28591c4e1abe73f83f56b307e4</x:v>
      </x:c>
      <x:c r="O132" s="1" t="str">
        <x:v>Admin Office - 1</x:v>
      </x:c>
      <x:c r="P132" s="1" t="n">
        <x:v>1</x:v>
      </x:c>
      <x:c r="Q132" s="1" t="str">
        <x:v>standard_mode_logs</x:v>
      </x:c>
      <x:c r="R132" s="1" t="n">
        <x:v>47</x:v>
      </x:c>
      <x:c r="S132" s="1" t="str">
        <x:v>Reset exit</x:v>
      </x:c>
      <x:c r="T132" s="1"/>
      <x:c r="U132" s="5" t="str"/>
      <x:c r="V132" s="1" t="n">
        <x:v>0</x:v>
      </x:c>
      <x:c r="W132" s="1" t="n">
        <x:v>0</x:v>
      </x:c>
      <x:c r="X132" s="1" t="str">
        <x:v>Not applicable</x:v>
      </x:c>
      <x:c r="Y132" s="1" t="n">
        <x:f>IF(V132=1,IF(E132="GRANTED",IF(X132="GRANTED",1,0),IF(X132="DENIED",1,0)),0)</x:f>
        <x:v>0</x:v>
      </x:c>
    </x:row>
    <x:row r="133" ht="23" customHeight="1">
      <x:c r="A133" s="9" t="n">
        <x:v>46246.487290833335</x:v>
      </x:c>
      <x:c r="B133" s="1" t="str">
        <x:v>Juan Tamad</x:v>
      </x:c>
      <x:c r="C133" s="1" t="str">
        <x:v>Exit</x:v>
      </x:c>
      <x:c r="D133" s="1" t="str">
        <x:v>Standard</x:v>
      </x:c>
      <x:c r="E133" s="1" t="str">
        <x:v>GRANTED</x:v>
      </x:c>
      <x:c r="F133" s="11" t="n">
        <x:v>11.017</x:v>
      </x:c>
      <x:c r="G133" s="11" t="str">
        <x:v>N/A (Bypassed)</x:v>
      </x:c>
      <x:c r="H133" s="11" t="str">
        <x:v>N/A (Bypassed)</x:v>
      </x:c>
      <x:c r="I133" s="11" t="str">
        <x:v>N/A (Bypassed)</x:v>
      </x:c>
      <x:c r="J133" s="11" t="str">
        <x:v>N/A (Bypassed)</x:v>
      </x:c>
      <x:c r="K133" s="11" t="str">
        <x:v>N/A</x:v>
      </x:c>
      <x:c r="L133" s="11" t="n">
        <x:v>11.017</x:v>
      </x:c>
      <x:c r="M133" s="11" t="n">
        <x:v>2.9249</x:v>
      </x:c>
      <x:c r="N133" s="1" t="str">
        <x:v>6898be28591c4e1abe73f83f56b307e4</x:v>
      </x:c>
      <x:c r="O133" s="1" t="str">
        <x:v>Admin Office - 1</x:v>
      </x:c>
      <x:c r="P133" s="1" t="n">
        <x:v>1</x:v>
      </x:c>
      <x:c r="Q133" s="1" t="str">
        <x:v>standard_mode_logs</x:v>
      </x:c>
      <x:c r="R133" s="1" t="n">
        <x:v>48</x:v>
      </x:c>
      <x:c r="S133" s="1" t="str">
        <x:v>Reset exit</x:v>
      </x:c>
      <x:c r="T133" s="1"/>
      <x:c r="U133" s="5" t="str"/>
      <x:c r="V133" s="1" t="n">
        <x:v>0</x:v>
      </x:c>
      <x:c r="W133" s="1" t="n">
        <x:v>0</x:v>
      </x:c>
      <x:c r="X133" s="1" t="str">
        <x:v>Not applicable</x:v>
      </x:c>
      <x:c r="Y133" s="1" t="n">
        <x:f>IF(V133=1,IF(E133="GRANTED",IF(X133="GRANTED",1,0),IF(X133="DENIED",1,0)),0)</x:f>
        <x:v>0</x:v>
      </x:c>
    </x:row>
    <x:row r="134" ht="23" customHeight="1">
      <x:c r="A134" s="9" t="n">
        <x:v>46246.48726864583</x:v>
      </x:c>
      <x:c r="B134" s="1" t="str">
        <x:v>Luningning Santos</x:v>
      </x:c>
      <x:c r="C134" s="1" t="str">
        <x:v>Exit</x:v>
      </x:c>
      <x:c r="D134" s="1" t="str">
        <x:v>Standard</x:v>
      </x:c>
      <x:c r="E134" s="1" t="str">
        <x:v>GRANTED</x:v>
      </x:c>
      <x:c r="F134" s="11" t="n">
        <x:v>11.4731</x:v>
      </x:c>
      <x:c r="G134" s="11" t="str">
        <x:v>N/A (Bypassed)</x:v>
      </x:c>
      <x:c r="H134" s="11" t="str">
        <x:v>N/A (Bypassed)</x:v>
      </x:c>
      <x:c r="I134" s="11" t="str">
        <x:v>N/A (Bypassed)</x:v>
      </x:c>
      <x:c r="J134" s="11" t="str">
        <x:v>N/A (Bypassed)</x:v>
      </x:c>
      <x:c r="K134" s="11" t="str">
        <x:v>N/A</x:v>
      </x:c>
      <x:c r="L134" s="11" t="n">
        <x:v>11.4731</x:v>
      </x:c>
      <x:c r="M134" s="11" t="n">
        <x:v>2.7355</x:v>
      </x:c>
      <x:c r="N134" s="1" t="str">
        <x:v>6898be28591c4e1abe73f83f56b307e4</x:v>
      </x:c>
      <x:c r="O134" s="1" t="str">
        <x:v>Admin Office - 1</x:v>
      </x:c>
      <x:c r="P134" s="1" t="n">
        <x:v>1</x:v>
      </x:c>
      <x:c r="Q134" s="1" t="str">
        <x:v>standard_mode_logs</x:v>
      </x:c>
      <x:c r="R134" s="1" t="n">
        <x:v>49</x:v>
      </x:c>
      <x:c r="S134" s="1" t="str">
        <x:v>Reset exit</x:v>
      </x:c>
      <x:c r="T134" s="1"/>
      <x:c r="U134" s="5" t="str"/>
      <x:c r="V134" s="1" t="n">
        <x:v>0</x:v>
      </x:c>
      <x:c r="W134" s="1" t="n">
        <x:v>0</x:v>
      </x:c>
      <x:c r="X134" s="1" t="str">
        <x:v>Not applicable</x:v>
      </x:c>
      <x:c r="Y134" s="1" t="n">
        <x:f>IF(V134=1,IF(E134="GRANTED",IF(X134="GRANTED",1,0),IF(X134="DENIED",1,0)),0)</x:f>
        <x:v>0</x:v>
      </x:c>
    </x:row>
    <x:row r="135" ht="23" customHeight="1">
      <x:c r="A135" s="9" t="n">
        <x:v>46246.48724402778</x:v>
      </x:c>
      <x:c r="B135" s="1" t="str">
        <x:v>Teresita Gonzales</x:v>
      </x:c>
      <x:c r="C135" s="1" t="str">
        <x:v>Exit</x:v>
      </x:c>
      <x:c r="D135" s="1" t="str">
        <x:v>Standard</x:v>
      </x:c>
      <x:c r="E135" s="1" t="str">
        <x:v>GRANTED</x:v>
      </x:c>
      <x:c r="F135" s="11" t="n">
        <x:v>10.4345</x:v>
      </x:c>
      <x:c r="G135" s="11" t="str">
        <x:v>N/A (Bypassed)</x:v>
      </x:c>
      <x:c r="H135" s="11" t="str">
        <x:v>N/A (Bypassed)</x:v>
      </x:c>
      <x:c r="I135" s="11" t="str">
        <x:v>N/A (Bypassed)</x:v>
      </x:c>
      <x:c r="J135" s="11" t="str">
        <x:v>N/A (Bypassed)</x:v>
      </x:c>
      <x:c r="K135" s="11" t="str">
        <x:v>N/A</x:v>
      </x:c>
      <x:c r="L135" s="11" t="n">
        <x:v>10.4345</x:v>
      </x:c>
      <x:c r="M135" s="11" t="n">
        <x:v>2.8037</x:v>
      </x:c>
      <x:c r="N135" s="1" t="str">
        <x:v>6898be28591c4e1abe73f83f56b307e4</x:v>
      </x:c>
      <x:c r="O135" s="1" t="str">
        <x:v>Admin Office - 1</x:v>
      </x:c>
      <x:c r="P135" s="1" t="n">
        <x:v>1</x:v>
      </x:c>
      <x:c r="Q135" s="1" t="str">
        <x:v>standard_mode_logs</x:v>
      </x:c>
      <x:c r="R135" s="1" t="n">
        <x:v>50</x:v>
      </x:c>
      <x:c r="S135" s="1" t="str">
        <x:v>Reset exit</x:v>
      </x:c>
      <x:c r="T135" s="1"/>
      <x:c r="U135" s="5" t="str"/>
      <x:c r="V135" s="1" t="n">
        <x:v>0</x:v>
      </x:c>
      <x:c r="W135" s="1" t="n">
        <x:v>0</x:v>
      </x:c>
      <x:c r="X135" s="1" t="str">
        <x:v>Not applicable</x:v>
      </x:c>
      <x:c r="Y135" s="1" t="n">
        <x:f>IF(V135=1,IF(E135="GRANTED",IF(X135="GRANTED",1,0),IF(X135="DENIED",1,0)),0)</x:f>
        <x:v>0</x:v>
      </x:c>
    </x:row>
    <x:row r="136" ht="23" customHeight="1">
      <x:c r="A136" s="9" t="n">
        <x:v>46246.487221979165</x:v>
      </x:c>
      <x:c r="B136" s="1" t="str">
        <x:v>Ana Delos Reyes</x:v>
      </x:c>
      <x:c r="C136" s="1" t="str">
        <x:v>Exit</x:v>
      </x:c>
      <x:c r="D136" s="1" t="str">
        <x:v>Standard</x:v>
      </x:c>
      <x:c r="E136" s="1" t="str">
        <x:v>GRANTED</x:v>
      </x:c>
      <x:c r="F136" s="11" t="n">
        <x:v>11.3077</x:v>
      </x:c>
      <x:c r="G136" s="11" t="str">
        <x:v>N/A (Bypassed)</x:v>
      </x:c>
      <x:c r="H136" s="11" t="str">
        <x:v>N/A (Bypassed)</x:v>
      </x:c>
      <x:c r="I136" s="11" t="str">
        <x:v>N/A (Bypassed)</x:v>
      </x:c>
      <x:c r="J136" s="11" t="str">
        <x:v>N/A (Bypassed)</x:v>
      </x:c>
      <x:c r="K136" s="11" t="str">
        <x:v>N/A</x:v>
      </x:c>
      <x:c r="L136" s="11" t="n">
        <x:v>11.3077</x:v>
      </x:c>
      <x:c r="M136" s="11" t="n">
        <x:v>2.5285</x:v>
      </x:c>
      <x:c r="N136" s="1" t="str">
        <x:v>6898be28591c4e1abe73f83f56b307e4</x:v>
      </x:c>
      <x:c r="O136" s="1" t="str">
        <x:v>Admin Office - 1</x:v>
      </x:c>
      <x:c r="P136" s="1" t="n">
        <x:v>1</x:v>
      </x:c>
      <x:c r="Q136" s="1" t="str">
        <x:v>standard_mode_logs</x:v>
      </x:c>
      <x:c r="R136" s="1" t="n">
        <x:v>51</x:v>
      </x:c>
      <x:c r="S136" s="1" t="str">
        <x:v>Reset exit</x:v>
      </x:c>
      <x:c r="T136" s="1"/>
      <x:c r="U136" s="5" t="str"/>
      <x:c r="V136" s="1" t="n">
        <x:v>0</x:v>
      </x:c>
      <x:c r="W136" s="1" t="n">
        <x:v>0</x:v>
      </x:c>
      <x:c r="X136" s="1" t="str">
        <x:v>Not applicable</x:v>
      </x:c>
      <x:c r="Y136" s="1" t="n">
        <x:f>IF(V136=1,IF(E136="GRANTED",IF(X136="GRANTED",1,0),IF(X136="DENIED",1,0)),0)</x:f>
        <x:v>0</x:v>
      </x:c>
    </x:row>
    <x:row r="137" ht="23" customHeight="1">
      <x:c r="A137" s="9" t="n">
        <x:v>46246.48720309028</x:v>
      </x:c>
      <x:c r="B137" s="1" t="str">
        <x:v>Maria Santos</x:v>
      </x:c>
      <x:c r="C137" s="1" t="str">
        <x:v>Exit</x:v>
      </x:c>
      <x:c r="D137" s="1" t="str">
        <x:v>Standard</x:v>
      </x:c>
      <x:c r="E137" s="1" t="str">
        <x:v>GRANTED</x:v>
      </x:c>
      <x:c r="F137" s="11" t="n">
        <x:v>40.9093</x:v>
      </x:c>
      <x:c r="G137" s="11" t="str">
        <x:v>N/A (Bypassed)</x:v>
      </x:c>
      <x:c r="H137" s="11" t="str">
        <x:v>N/A (Bypassed)</x:v>
      </x:c>
      <x:c r="I137" s="11" t="str">
        <x:v>N/A (Bypassed)</x:v>
      </x:c>
      <x:c r="J137" s="11" t="str">
        <x:v>N/A (Bypassed)</x:v>
      </x:c>
      <x:c r="K137" s="11" t="str">
        <x:v>N/A</x:v>
      </x:c>
      <x:c r="L137" s="11" t="n">
        <x:v>40.9093</x:v>
      </x:c>
      <x:c r="M137" s="11" t="n">
        <x:v>2.8001</x:v>
      </x:c>
      <x:c r="N137" s="1" t="str">
        <x:v>6898be28591c4e1abe73f83f56b307e4</x:v>
      </x:c>
      <x:c r="O137" s="1" t="str">
        <x:v>Admin Office - 1</x:v>
      </x:c>
      <x:c r="P137" s="1" t="n">
        <x:v>1</x:v>
      </x:c>
      <x:c r="Q137" s="1" t="str">
        <x:v>standard_mode_logs</x:v>
      </x:c>
      <x:c r="R137" s="1" t="n">
        <x:v>52</x:v>
      </x:c>
      <x:c r="S137" s="1" t="str">
        <x:v>Reset exit</x:v>
      </x:c>
      <x:c r="T137" s="1"/>
      <x:c r="U137" s="5" t="str"/>
      <x:c r="V137" s="1" t="n">
        <x:v>0</x:v>
      </x:c>
      <x:c r="W137" s="1" t="n">
        <x:v>0</x:v>
      </x:c>
      <x:c r="X137" s="1" t="str">
        <x:v>Not applicable</x:v>
      </x:c>
      <x:c r="Y137" s="1" t="n">
        <x:f>IF(V137=1,IF(E137="GRANTED",IF(X137="GRANTED",1,0),IF(X137="DENIED",1,0)),0)</x:f>
        <x:v>0</x:v>
      </x:c>
    </x:row>
    <x:row r="138" ht="23" customHeight="1">
      <x:c r="A138" s="9" t="n">
        <x:v>46246.4871803125</x:v>
      </x:c>
      <x:c r="B138" s="1" t="str">
        <x:v>Maria Clara</x:v>
      </x:c>
      <x:c r="C138" s="1" t="str">
        <x:v>Exit</x:v>
      </x:c>
      <x:c r="D138" s="1" t="str">
        <x:v>Standard</x:v>
      </x:c>
      <x:c r="E138" s="1" t="str">
        <x:v>GRANTED</x:v>
      </x:c>
      <x:c r="F138" s="11" t="n">
        <x:v>34.3864</x:v>
      </x:c>
      <x:c r="G138" s="11" t="str">
        <x:v>N/A (Bypassed)</x:v>
      </x:c>
      <x:c r="H138" s="11" t="str">
        <x:v>N/A (Bypassed)</x:v>
      </x:c>
      <x:c r="I138" s="11" t="str">
        <x:v>N/A (Bypassed)</x:v>
      </x:c>
      <x:c r="J138" s="11" t="str">
        <x:v>N/A (Bypassed)</x:v>
      </x:c>
      <x:c r="K138" s="11" t="str">
        <x:v>N/A</x:v>
      </x:c>
      <x:c r="L138" s="11" t="n">
        <x:v>34.3864</x:v>
      </x:c>
      <x:c r="M138" s="11" t="n">
        <x:v>2.8061</x:v>
      </x:c>
      <x:c r="N138" s="1" t="str">
        <x:v>6898be28591c4e1abe73f83f56b307e4</x:v>
      </x:c>
      <x:c r="O138" s="1" t="str">
        <x:v>Admin Office - 1</x:v>
      </x:c>
      <x:c r="P138" s="1" t="n">
        <x:v>1</x:v>
      </x:c>
      <x:c r="Q138" s="1" t="str">
        <x:v>standard_mode_logs</x:v>
      </x:c>
      <x:c r="R138" s="1" t="n">
        <x:v>53</x:v>
      </x:c>
      <x:c r="S138" s="1" t="str">
        <x:v>Reset exit</x:v>
      </x:c>
      <x:c r="T138" s="1"/>
      <x:c r="U138" s="5" t="str"/>
      <x:c r="V138" s="1" t="n">
        <x:v>0</x:v>
      </x:c>
      <x:c r="W138" s="1" t="n">
        <x:v>0</x:v>
      </x:c>
      <x:c r="X138" s="1" t="str">
        <x:v>Not applicable</x:v>
      </x:c>
      <x:c r="Y138" s="1" t="n">
        <x:f>IF(V138=1,IF(E138="GRANTED",IF(X138="GRANTED",1,0),IF(X138="DENIED",1,0)),0)</x:f>
        <x:v>0</x:v>
      </x:c>
    </x:row>
    <x:row r="139" ht="23" customHeight="1">
      <x:c r="A139" s="9" t="n">
        <x:v>46246.48714081019</x:v>
      </x:c>
      <x:c r="B139" s="1" t="str">
        <x:v>Juana Dela Cruz</x:v>
      </x:c>
      <x:c r="C139" s="1" t="str">
        <x:v>Exit</x:v>
      </x:c>
      <x:c r="D139" s="1" t="str">
        <x:v>Standard</x:v>
      </x:c>
      <x:c r="E139" s="1" t="str">
        <x:v>GRANTED</x:v>
      </x:c>
      <x:c r="F139" s="11" t="n">
        <x:v>11.9875</x:v>
      </x:c>
      <x:c r="G139" s="11" t="str">
        <x:v>N/A (Bypassed)</x:v>
      </x:c>
      <x:c r="H139" s="11" t="str">
        <x:v>N/A (Bypassed)</x:v>
      </x:c>
      <x:c r="I139" s="11" t="str">
        <x:v>N/A (Bypassed)</x:v>
      </x:c>
      <x:c r="J139" s="11" t="str">
        <x:v>N/A (Bypassed)</x:v>
      </x:c>
      <x:c r="K139" s="11" t="str">
        <x:v>N/A</x:v>
      </x:c>
      <x:c r="L139" s="11" t="n">
        <x:v>11.9875</x:v>
      </x:c>
      <x:c r="M139" s="11" t="n">
        <x:v>2.8735</x:v>
      </x:c>
      <x:c r="N139" s="1" t="str">
        <x:v>6898be28591c4e1abe73f83f56b307e4</x:v>
      </x:c>
      <x:c r="O139" s="1" t="str">
        <x:v>Admin Office - 1</x:v>
      </x:c>
      <x:c r="P139" s="1" t="n">
        <x:v>1</x:v>
      </x:c>
      <x:c r="Q139" s="1" t="str">
        <x:v>standard_mode_logs</x:v>
      </x:c>
      <x:c r="R139" s="1" t="n">
        <x:v>54</x:v>
      </x:c>
      <x:c r="S139" s="1" t="str">
        <x:v>Reset exit</x:v>
      </x:c>
      <x:c r="T139" s="1"/>
      <x:c r="U139" s="5" t="str"/>
      <x:c r="V139" s="1" t="n">
        <x:v>0</x:v>
      </x:c>
      <x:c r="W139" s="1" t="n">
        <x:v>0</x:v>
      </x:c>
      <x:c r="X139" s="1" t="str">
        <x:v>Not applicable</x:v>
      </x:c>
      <x:c r="Y139" s="1" t="n">
        <x:f>IF(V139=1,IF(E139="GRANTED",IF(X139="GRANTED",1,0),IF(X139="DENIED",1,0)),0)</x:f>
        <x:v>0</x:v>
      </x:c>
    </x:row>
    <x:row r="140" ht="23" customHeight="1">
      <x:c r="A140" s="9" t="n">
        <x:v>46246.48711998842</x:v>
      </x:c>
      <x:c r="B140" s="1" t="str">
        <x:v>Maria Dela Cruz</x:v>
      </x:c>
      <x:c r="C140" s="1" t="str">
        <x:v>Exit</x:v>
      </x:c>
      <x:c r="D140" s="1" t="str">
        <x:v>Standard</x:v>
      </x:c>
      <x:c r="E140" s="1" t="str">
        <x:v>GRANTED</x:v>
      </x:c>
      <x:c r="F140" s="11" t="n">
        <x:v>11.3345</x:v>
      </x:c>
      <x:c r="G140" s="11" t="str">
        <x:v>N/A (Bypassed)</x:v>
      </x:c>
      <x:c r="H140" s="11" t="str">
        <x:v>N/A (Bypassed)</x:v>
      </x:c>
      <x:c r="I140" s="11" t="str">
        <x:v>N/A (Bypassed)</x:v>
      </x:c>
      <x:c r="J140" s="11" t="str">
        <x:v>N/A (Bypassed)</x:v>
      </x:c>
      <x:c r="K140" s="11" t="str">
        <x:v>N/A</x:v>
      </x:c>
      <x:c r="L140" s="11" t="n">
        <x:v>11.3345</x:v>
      </x:c>
      <x:c r="M140" s="11" t="n">
        <x:v>3.1452</x:v>
      </x:c>
      <x:c r="N140" s="1" t="str">
        <x:v>6898be28591c4e1abe73f83f56b307e4</x:v>
      </x:c>
      <x:c r="O140" s="1" t="str">
        <x:v>Admin Office - 1</x:v>
      </x:c>
      <x:c r="P140" s="1" t="n">
        <x:v>1</x:v>
      </x:c>
      <x:c r="Q140" s="1" t="str">
        <x:v>standard_mode_logs</x:v>
      </x:c>
      <x:c r="R140" s="1" t="n">
        <x:v>55</x:v>
      </x:c>
      <x:c r="S140" s="1" t="str">
        <x:v>Reset exit</x:v>
      </x:c>
      <x:c r="T140" s="1"/>
      <x:c r="U140" s="5" t="str"/>
      <x:c r="V140" s="1" t="n">
        <x:v>0</x:v>
      </x:c>
      <x:c r="W140" s="1" t="n">
        <x:v>0</x:v>
      </x:c>
      <x:c r="X140" s="1" t="str">
        <x:v>Not applicable</x:v>
      </x:c>
      <x:c r="Y140" s="1" t="n">
        <x:f>IF(V140=1,IF(E140="GRANTED",IF(X140="GRANTED",1,0),IF(X140="DENIED",1,0)),0)</x:f>
        <x:v>0</x:v>
      </x:c>
    </x:row>
    <x:row r="141" ht="23" customHeight="1">
      <x:c r="A141" s="9" t="n">
        <x:v>46246.48709983796</x:v>
      </x:c>
      <x:c r="B141" s="1" t="str">
        <x:v>Basilio Magbanua</x:v>
      </x:c>
      <x:c r="C141" s="1" t="str">
        <x:v>Exit</x:v>
      </x:c>
      <x:c r="D141" s="1" t="str">
        <x:v>Standard</x:v>
      </x:c>
      <x:c r="E141" s="1" t="str">
        <x:v>GRANTED</x:v>
      </x:c>
      <x:c r="F141" s="11" t="n">
        <x:v>11.2447</x:v>
      </x:c>
      <x:c r="G141" s="11" t="str">
        <x:v>N/A (Bypassed)</x:v>
      </x:c>
      <x:c r="H141" s="11" t="str">
        <x:v>N/A (Bypassed)</x:v>
      </x:c>
      <x:c r="I141" s="11" t="str">
        <x:v>N/A (Bypassed)</x:v>
      </x:c>
      <x:c r="J141" s="11" t="str">
        <x:v>N/A (Bypassed)</x:v>
      </x:c>
      <x:c r="K141" s="11" t="str">
        <x:v>N/A</x:v>
      </x:c>
      <x:c r="L141" s="11" t="n">
        <x:v>11.2447</x:v>
      </x:c>
      <x:c r="M141" s="11" t="n">
        <x:v>2.6805</x:v>
      </x:c>
      <x:c r="N141" s="1" t="str">
        <x:v>6898be28591c4e1abe73f83f56b307e4</x:v>
      </x:c>
      <x:c r="O141" s="1" t="str">
        <x:v>Admin Office - 1</x:v>
      </x:c>
      <x:c r="P141" s="1" t="n">
        <x:v>1</x:v>
      </x:c>
      <x:c r="Q141" s="1" t="str">
        <x:v>standard_mode_logs</x:v>
      </x:c>
      <x:c r="R141" s="1" t="n">
        <x:v>56</x:v>
      </x:c>
      <x:c r="S141" s="1" t="str">
        <x:v>Reset exit</x:v>
      </x:c>
      <x:c r="T141" s="1"/>
      <x:c r="U141" s="5" t="str"/>
      <x:c r="V141" s="1" t="n">
        <x:v>0</x:v>
      </x:c>
      <x:c r="W141" s="1" t="n">
        <x:v>0</x:v>
      </x:c>
      <x:c r="X141" s="1" t="str">
        <x:v>Not applicable</x:v>
      </x:c>
      <x:c r="Y141" s="1" t="n">
        <x:f>IF(V141=1,IF(E141="GRANTED",IF(X141="GRANTED",1,0),IF(X141="DENIED",1,0)),0)</x:f>
        <x:v>0</x:v>
      </x:c>
    </x:row>
    <x:row r="142" ht="23" customHeight="1">
      <x:c r="A142" s="9" t="n">
        <x:v>46246.48707966435</x:v>
      </x:c>
      <x:c r="B142" s="1" t="str">
        <x:v>Bayani Dela Rosa</x:v>
      </x:c>
      <x:c r="C142" s="1" t="str">
        <x:v>Exit</x:v>
      </x:c>
      <x:c r="D142" s="1" t="str">
        <x:v>Standard</x:v>
      </x:c>
      <x:c r="E142" s="1" t="str">
        <x:v>GRANTED</x:v>
      </x:c>
      <x:c r="F142" s="11" t="n">
        <x:v>10.4141</x:v>
      </x:c>
      <x:c r="G142" s="11" t="str">
        <x:v>N/A (Bypassed)</x:v>
      </x:c>
      <x:c r="H142" s="11" t="str">
        <x:v>N/A (Bypassed)</x:v>
      </x:c>
      <x:c r="I142" s="11" t="str">
        <x:v>N/A (Bypassed)</x:v>
      </x:c>
      <x:c r="J142" s="11" t="str">
        <x:v>N/A (Bypassed)</x:v>
      </x:c>
      <x:c r="K142" s="11" t="str">
        <x:v>N/A</x:v>
      </x:c>
      <x:c r="L142" s="11" t="n">
        <x:v>10.4141</x:v>
      </x:c>
      <x:c r="M142" s="11" t="n">
        <x:v>2.7268</x:v>
      </x:c>
      <x:c r="N142" s="1" t="str">
        <x:v>6898be28591c4e1abe73f83f56b307e4</x:v>
      </x:c>
      <x:c r="O142" s="1" t="str">
        <x:v>Admin Office - 1</x:v>
      </x:c>
      <x:c r="P142" s="1" t="n">
        <x:v>1</x:v>
      </x:c>
      <x:c r="Q142" s="1" t="str">
        <x:v>standard_mode_logs</x:v>
      </x:c>
      <x:c r="R142" s="1" t="n">
        <x:v>57</x:v>
      </x:c>
      <x:c r="S142" s="1" t="str">
        <x:v>Reset exit</x:v>
      </x:c>
      <x:c r="T142" s="1"/>
      <x:c r="U142" s="5" t="str"/>
      <x:c r="V142" s="1" t="n">
        <x:v>0</x:v>
      </x:c>
      <x:c r="W142" s="1" t="n">
        <x:v>0</x:v>
      </x:c>
      <x:c r="X142" s="1" t="str">
        <x:v>Not applicable</x:v>
      </x:c>
      <x:c r="Y142" s="1" t="n">
        <x:f>IF(V142=1,IF(E142="GRANTED",IF(X142="GRANTED",1,0),IF(X142="DENIED",1,0)),0)</x:f>
        <x:v>0</x:v>
      </x:c>
    </x:row>
    <x:row r="143" ht="23" customHeight="1">
      <x:c r="A143" s="9" t="n">
        <x:v>46246.48706003472</x:v>
      </x:c>
      <x:c r="B143" s="1" t="str">
        <x:v>Jose Mari Bautista</x:v>
      </x:c>
      <x:c r="C143" s="1" t="str">
        <x:v>Exit</x:v>
      </x:c>
      <x:c r="D143" s="1" t="str">
        <x:v>Standard</x:v>
      </x:c>
      <x:c r="E143" s="1" t="str">
        <x:v>GRANTED</x:v>
      </x:c>
      <x:c r="F143" s="11" t="n">
        <x:v>11.6438</x:v>
      </x:c>
      <x:c r="G143" s="11" t="str">
        <x:v>N/A (Bypassed)</x:v>
      </x:c>
      <x:c r="H143" s="11" t="str">
        <x:v>N/A (Bypassed)</x:v>
      </x:c>
      <x:c r="I143" s="11" t="str">
        <x:v>N/A (Bypassed)</x:v>
      </x:c>
      <x:c r="J143" s="11" t="str">
        <x:v>N/A (Bypassed)</x:v>
      </x:c>
      <x:c r="K143" s="11" t="str">
        <x:v>N/A</x:v>
      </x:c>
      <x:c r="L143" s="11" t="n">
        <x:v>11.6438</x:v>
      </x:c>
      <x:c r="M143" s="11" t="n">
        <x:v>3.9492</x:v>
      </x:c>
      <x:c r="N143" s="1" t="str">
        <x:v>6898be28591c4e1abe73f83f56b307e4</x:v>
      </x:c>
      <x:c r="O143" s="1" t="str">
        <x:v>Admin Office - 1</x:v>
      </x:c>
      <x:c r="P143" s="1" t="n">
        <x:v>1</x:v>
      </x:c>
      <x:c r="Q143" s="1" t="str">
        <x:v>standard_mode_logs</x:v>
      </x:c>
      <x:c r="R143" s="1" t="n">
        <x:v>58</x:v>
      </x:c>
      <x:c r="S143" s="1" t="str">
        <x:v>Reset exit</x:v>
      </x:c>
      <x:c r="T143" s="1"/>
      <x:c r="U143" s="5" t="str"/>
      <x:c r="V143" s="1" t="n">
        <x:v>0</x:v>
      </x:c>
      <x:c r="W143" s="1" t="n">
        <x:v>0</x:v>
      </x:c>
      <x:c r="X143" s="1" t="str">
        <x:v>Not applicable</x:v>
      </x:c>
      <x:c r="Y143" s="1" t="n">
        <x:f>IF(V143=1,IF(E143="GRANTED",IF(X143="GRANTED",1,0),IF(X143="DENIED",1,0)),0)</x:f>
        <x:v>0</x:v>
      </x:c>
    </x:row>
    <x:row r="144" ht="23" customHeight="1">
      <x:c r="A144" s="9" t="n">
        <x:v>46246.48703924769</x:v>
      </x:c>
      <x:c r="B144" s="1" t="str">
        <x:v>Angelito Fernandez</x:v>
      </x:c>
      <x:c r="C144" s="1" t="str">
        <x:v>Exit</x:v>
      </x:c>
      <x:c r="D144" s="1" t="str">
        <x:v>Standard</x:v>
      </x:c>
      <x:c r="E144" s="1" t="str">
        <x:v>GRANTED</x:v>
      </x:c>
      <x:c r="F144" s="11" t="n">
        <x:v>12.4995</x:v>
      </x:c>
      <x:c r="G144" s="11" t="str">
        <x:v>N/A (Bypassed)</x:v>
      </x:c>
      <x:c r="H144" s="11" t="str">
        <x:v>N/A (Bypassed)</x:v>
      </x:c>
      <x:c r="I144" s="11" t="str">
        <x:v>N/A (Bypassed)</x:v>
      </x:c>
      <x:c r="J144" s="11" t="str">
        <x:v>N/A (Bypassed)</x:v>
      </x:c>
      <x:c r="K144" s="11" t="str">
        <x:v>N/A</x:v>
      </x:c>
      <x:c r="L144" s="11" t="n">
        <x:v>12.4995</x:v>
      </x:c>
      <x:c r="M144" s="11" t="n">
        <x:v>3.1375</x:v>
      </x:c>
      <x:c r="N144" s="1" t="str">
        <x:v>6898be28591c4e1abe73f83f56b307e4</x:v>
      </x:c>
      <x:c r="O144" s="1" t="str">
        <x:v>Admin Office - 1</x:v>
      </x:c>
      <x:c r="P144" s="1" t="n">
        <x:v>1</x:v>
      </x:c>
      <x:c r="Q144" s="1" t="str">
        <x:v>standard_mode_logs</x:v>
      </x:c>
      <x:c r="R144" s="1" t="n">
        <x:v>59</x:v>
      </x:c>
      <x:c r="S144" s="1" t="str">
        <x:v>Reset exit</x:v>
      </x:c>
      <x:c r="T144" s="1"/>
      <x:c r="U144" s="5" t="str"/>
      <x:c r="V144" s="1" t="n">
        <x:v>0</x:v>
      </x:c>
      <x:c r="W144" s="1" t="n">
        <x:v>0</x:v>
      </x:c>
      <x:c r="X144" s="1" t="str">
        <x:v>Not applicable</x:v>
      </x:c>
      <x:c r="Y144" s="1" t="n">
        <x:f>IF(V144=1,IF(E144="GRANTED",IF(X144="GRANTED",1,0),IF(X144="DENIED",1,0)),0)</x:f>
        <x:v>0</x:v>
      </x:c>
    </x:row>
    <x:row r="145" ht="23" customHeight="1">
      <x:c r="A145" s="9" t="n">
        <x:v>46246.48700929398</x:v>
      </x:c>
      <x:c r="B145" s="1" t="str">
        <x:v>Roberto Ramos</x:v>
      </x:c>
      <x:c r="C145" s="1" t="str">
        <x:v>Exit</x:v>
      </x:c>
      <x:c r="D145" s="1" t="str">
        <x:v>Standard</x:v>
      </x:c>
      <x:c r="E145" s="1" t="str">
        <x:v>GRANTED</x:v>
      </x:c>
      <x:c r="F145" s="11" t="n">
        <x:v>10.7044</x:v>
      </x:c>
      <x:c r="G145" s="11" t="str">
        <x:v>N/A (Bypassed)</x:v>
      </x:c>
      <x:c r="H145" s="11" t="str">
        <x:v>N/A (Bypassed)</x:v>
      </x:c>
      <x:c r="I145" s="11" t="str">
        <x:v>N/A (Bypassed)</x:v>
      </x:c>
      <x:c r="J145" s="11" t="str">
        <x:v>N/A (Bypassed)</x:v>
      </x:c>
      <x:c r="K145" s="11" t="str">
        <x:v>N/A</x:v>
      </x:c>
      <x:c r="L145" s="11" t="n">
        <x:v>10.7044</x:v>
      </x:c>
      <x:c r="M145" s="11" t="n">
        <x:v>2.7064</x:v>
      </x:c>
      <x:c r="N145" s="1" t="str">
        <x:v>6898be28591c4e1abe73f83f56b307e4</x:v>
      </x:c>
      <x:c r="O145" s="1" t="str">
        <x:v>Admin Office - 1</x:v>
      </x:c>
      <x:c r="P145" s="1" t="n">
        <x:v>1</x:v>
      </x:c>
      <x:c r="Q145" s="1" t="str">
        <x:v>standard_mode_logs</x:v>
      </x:c>
      <x:c r="R145" s="1" t="n">
        <x:v>60</x:v>
      </x:c>
      <x:c r="S145" s="1" t="str">
        <x:v>Reset exit</x:v>
      </x:c>
      <x:c r="T145" s="1"/>
      <x:c r="U145" s="5" t="str"/>
      <x:c r="V145" s="1" t="n">
        <x:v>0</x:v>
      </x:c>
      <x:c r="W145" s="1" t="n">
        <x:v>0</x:v>
      </x:c>
      <x:c r="X145" s="1" t="str">
        <x:v>Not applicable</x:v>
      </x:c>
      <x:c r="Y145" s="1" t="n">
        <x:f>IF(V145=1,IF(E145="GRANTED",IF(X145="GRANTED",1,0),IF(X145="DENIED",1,0)),0)</x:f>
        <x:v>0</x:v>
      </x:c>
    </x:row>
    <x:row r="146" ht="23" customHeight="1">
      <x:c r="A146" s="9" t="n">
        <x:v>46246.48697670139</x:v>
      </x:c>
      <x:c r="B146" s="1" t="str">
        <x:v>Juanito Delos Santos</x:v>
      </x:c>
      <x:c r="C146" s="1" t="str">
        <x:v>Exit</x:v>
      </x:c>
      <x:c r="D146" s="1" t="str">
        <x:v>Standard</x:v>
      </x:c>
      <x:c r="E146" s="1" t="str">
        <x:v>GRANTED</x:v>
      </x:c>
      <x:c r="F146" s="11" t="n">
        <x:v>12.3267</x:v>
      </x:c>
      <x:c r="G146" s="11" t="str">
        <x:v>N/A (Bypassed)</x:v>
      </x:c>
      <x:c r="H146" s="11" t="str">
        <x:v>N/A (Bypassed)</x:v>
      </x:c>
      <x:c r="I146" s="11" t="str">
        <x:v>N/A (Bypassed)</x:v>
      </x:c>
      <x:c r="J146" s="11" t="str">
        <x:v>N/A (Bypassed)</x:v>
      </x:c>
      <x:c r="K146" s="11" t="str">
        <x:v>N/A</x:v>
      </x:c>
      <x:c r="L146" s="11" t="n">
        <x:v>12.3267</x:v>
      </x:c>
      <x:c r="M146" s="11" t="n">
        <x:v>5.0015</x:v>
      </x:c>
      <x:c r="N146" s="1" t="str">
        <x:v>6898be28591c4e1abe73f83f56b307e4</x:v>
      </x:c>
      <x:c r="O146" s="1" t="str">
        <x:v>Admin Office - 1</x:v>
      </x:c>
      <x:c r="P146" s="1" t="n">
        <x:v>1</x:v>
      </x:c>
      <x:c r="Q146" s="1" t="str">
        <x:v>standard_mode_logs</x:v>
      </x:c>
      <x:c r="R146" s="1" t="n">
        <x:v>61</x:v>
      </x:c>
      <x:c r="S146" s="1" t="str">
        <x:v>Reset exit</x:v>
      </x:c>
      <x:c r="T146" s="1"/>
      <x:c r="U146" s="5" t="str"/>
      <x:c r="V146" s="1" t="n">
        <x:v>0</x:v>
      </x:c>
      <x:c r="W146" s="1" t="n">
        <x:v>0</x:v>
      </x:c>
      <x:c r="X146" s="1" t="str">
        <x:v>Not applicable</x:v>
      </x:c>
      <x:c r="Y146" s="1" t="n">
        <x:f>IF(V146=1,IF(E146="GRANTED",IF(X146="GRANTED",1,0),IF(X146="DENIED",1,0)),0)</x:f>
        <x:v>0</x:v>
      </x:c>
    </x:row>
    <x:row r="147" ht="23" customHeight="1">
      <x:c r="A147" s="9" t="n">
        <x:v>46246.486955775465</x:v>
      </x:c>
      <x:c r="B147" s="1" t="str">
        <x:v>[TEMP] Manuel Mendoza</x:v>
      </x:c>
      <x:c r="C147" s="1" t="str">
        <x:v>Exit</x:v>
      </x:c>
      <x:c r="D147" s="1" t="str">
        <x:v>Standard</x:v>
      </x:c>
      <x:c r="E147" s="1" t="str">
        <x:v>GRANTED</x:v>
      </x:c>
      <x:c r="F147" s="11" t="n">
        <x:v>11.8879</x:v>
      </x:c>
      <x:c r="G147" s="11" t="str">
        <x:v>N/A (Bypassed)</x:v>
      </x:c>
      <x:c r="H147" s="11" t="str">
        <x:v>N/A (Bypassed)</x:v>
      </x:c>
      <x:c r="I147" s="11" t="str">
        <x:v>N/A (Bypassed)</x:v>
      </x:c>
      <x:c r="J147" s="11" t="str">
        <x:v>N/A (Bypassed)</x:v>
      </x:c>
      <x:c r="K147" s="11" t="str">
        <x:v>N/A</x:v>
      </x:c>
      <x:c r="L147" s="11" t="n">
        <x:v>11.8879</x:v>
      </x:c>
      <x:c r="M147" s="11" t="n">
        <x:v>2.674</x:v>
      </x:c>
      <x:c r="N147" s="1" t="str">
        <x:v>6898be28591c4e1abe73f83f56b307e4</x:v>
      </x:c>
      <x:c r="O147" s="1" t="str">
        <x:v>Admin Office - 1</x:v>
      </x:c>
      <x:c r="P147" s="1" t="n">
        <x:v>1</x:v>
      </x:c>
      <x:c r="Q147" s="1" t="str">
        <x:v>standard_mode_logs</x:v>
      </x:c>
      <x:c r="R147" s="1" t="n">
        <x:v>62</x:v>
      </x:c>
      <x:c r="S147" s="1" t="str">
        <x:v>Reset exit</x:v>
      </x:c>
      <x:c r="T147" s="1"/>
      <x:c r="U147" s="5" t="str"/>
      <x:c r="V147" s="1" t="n">
        <x:v>0</x:v>
      </x:c>
      <x:c r="W147" s="1" t="n">
        <x:v>0</x:v>
      </x:c>
      <x:c r="X147" s="1" t="str">
        <x:v>Not applicable</x:v>
      </x:c>
      <x:c r="Y147" s="1" t="n">
        <x:f>IF(V147=1,IF(E147="GRANTED",IF(X147="GRANTED",1,0),IF(X147="DENIED",1,0)),0)</x:f>
        <x:v>0</x:v>
      </x:c>
    </x:row>
    <x:row r="148" ht="23" customHeight="1">
      <x:c r="A148" s="9" t="n">
        <x:v>46246.486935636574</x:v>
      </x:c>
      <x:c r="B148" s="1" t="str">
        <x:v>Francisco Garcia</x:v>
      </x:c>
      <x:c r="C148" s="1" t="str">
        <x:v>Exit</x:v>
      </x:c>
      <x:c r="D148" s="1" t="str">
        <x:v>Standard</x:v>
      </x:c>
      <x:c r="E148" s="1" t="str">
        <x:v>GRANTED</x:v>
      </x:c>
      <x:c r="F148" s="11" t="n">
        <x:v>13.4298</x:v>
      </x:c>
      <x:c r="G148" s="11" t="str">
        <x:v>N/A (Bypassed)</x:v>
      </x:c>
      <x:c r="H148" s="11" t="str">
        <x:v>N/A (Bypassed)</x:v>
      </x:c>
      <x:c r="I148" s="11" t="str">
        <x:v>N/A (Bypassed)</x:v>
      </x:c>
      <x:c r="J148" s="11" t="str">
        <x:v>N/A (Bypassed)</x:v>
      </x:c>
      <x:c r="K148" s="11" t="str">
        <x:v>N/A</x:v>
      </x:c>
      <x:c r="L148" s="11" t="n">
        <x:v>13.4298</x:v>
      </x:c>
      <x:c r="M148" s="11" t="n">
        <x:v>3.5098</x:v>
      </x:c>
      <x:c r="N148" s="1" t="str">
        <x:v>6898be28591c4e1abe73f83f56b307e4</x:v>
      </x:c>
      <x:c r="O148" s="1" t="str">
        <x:v>Admin Office - 1</x:v>
      </x:c>
      <x:c r="P148" s="1" t="n">
        <x:v>1</x:v>
      </x:c>
      <x:c r="Q148" s="1" t="str">
        <x:v>standard_mode_logs</x:v>
      </x:c>
      <x:c r="R148" s="1" t="n">
        <x:v>63</x:v>
      </x:c>
      <x:c r="S148" s="1" t="str">
        <x:v>Reset exit</x:v>
      </x:c>
      <x:c r="T148" s="1"/>
      <x:c r="U148" s="5" t="str"/>
      <x:c r="V148" s="1" t="n">
        <x:v>0</x:v>
      </x:c>
      <x:c r="W148" s="1" t="n">
        <x:v>0</x:v>
      </x:c>
      <x:c r="X148" s="1" t="str">
        <x:v>Not applicable</x:v>
      </x:c>
      <x:c r="Y148" s="1" t="n">
        <x:f>IF(V148=1,IF(E148="GRANTED",IF(X148="GRANTED",1,0),IF(X148="DENIED",1,0)),0)</x:f>
        <x:v>0</x:v>
      </x:c>
    </x:row>
    <x:row r="149" ht="23" customHeight="1">
      <x:c r="A149" s="9" t="n">
        <x:v>46246.486914699075</x:v>
      </x:c>
      <x:c r="B149" s="1" t="str">
        <x:v>[TEMP] Pedro Reyes</x:v>
      </x:c>
      <x:c r="C149" s="1" t="str">
        <x:v>Exit</x:v>
      </x:c>
      <x:c r="D149" s="1" t="str">
        <x:v>Standard</x:v>
      </x:c>
      <x:c r="E149" s="1" t="str">
        <x:v>GRANTED</x:v>
      </x:c>
      <x:c r="F149" s="11" t="n">
        <x:v>12.0162</x:v>
      </x:c>
      <x:c r="G149" s="11" t="str">
        <x:v>N/A (Bypassed)</x:v>
      </x:c>
      <x:c r="H149" s="11" t="str">
        <x:v>N/A (Bypassed)</x:v>
      </x:c>
      <x:c r="I149" s="11" t="str">
        <x:v>N/A (Bypassed)</x:v>
      </x:c>
      <x:c r="J149" s="11" t="str">
        <x:v>N/A (Bypassed)</x:v>
      </x:c>
      <x:c r="K149" s="11" t="str">
        <x:v>N/A</x:v>
      </x:c>
      <x:c r="L149" s="11" t="n">
        <x:v>12.0162</x:v>
      </x:c>
      <x:c r="M149" s="11" t="n">
        <x:v>4.2202</x:v>
      </x:c>
      <x:c r="N149" s="1" t="str">
        <x:v>6898be28591c4e1abe73f83f56b307e4</x:v>
      </x:c>
      <x:c r="O149" s="1" t="str">
        <x:v>Admin Office - 1</x:v>
      </x:c>
      <x:c r="P149" s="1" t="n">
        <x:v>1</x:v>
      </x:c>
      <x:c r="Q149" s="1" t="str">
        <x:v>standard_mode_logs</x:v>
      </x:c>
      <x:c r="R149" s="1" t="n">
        <x:v>64</x:v>
      </x:c>
      <x:c r="S149" s="1" t="str">
        <x:v>Reset exit</x:v>
      </x:c>
      <x:c r="T149" s="1"/>
      <x:c r="U149" s="5" t="str"/>
      <x:c r="V149" s="1" t="n">
        <x:v>0</x:v>
      </x:c>
      <x:c r="W149" s="1" t="n">
        <x:v>0</x:v>
      </x:c>
      <x:c r="X149" s="1" t="str">
        <x:v>Not applicable</x:v>
      </x:c>
      <x:c r="Y149" s="1" t="n">
        <x:f>IF(V149=1,IF(E149="GRANTED",IF(X149="GRANTED",1,0),IF(X149="DENIED",1,0)),0)</x:f>
        <x:v>0</x:v>
      </x:c>
    </x:row>
    <x:row r="150" ht="23" customHeight="1">
      <x:c r="A150" s="9" t="n">
        <x:v>46246.48689482639</x:v>
      </x:c>
      <x:c r="B150" s="1" t="str">
        <x:v>[TEMP] Jose Santos</x:v>
      </x:c>
      <x:c r="C150" s="1" t="str">
        <x:v>Exit</x:v>
      </x:c>
      <x:c r="D150" s="1" t="str">
        <x:v>Standard</x:v>
      </x:c>
      <x:c r="E150" s="1" t="str">
        <x:v>GRANTED</x:v>
      </x:c>
      <x:c r="F150" s="11" t="n">
        <x:v>11.3132</x:v>
      </x:c>
      <x:c r="G150" s="11" t="str">
        <x:v>N/A (Bypassed)</x:v>
      </x:c>
      <x:c r="H150" s="11" t="str">
        <x:v>N/A (Bypassed)</x:v>
      </x:c>
      <x:c r="I150" s="11" t="str">
        <x:v>N/A (Bypassed)</x:v>
      </x:c>
      <x:c r="J150" s="11" t="str">
        <x:v>N/A (Bypassed)</x:v>
      </x:c>
      <x:c r="K150" s="11" t="str">
        <x:v>N/A</x:v>
      </x:c>
      <x:c r="L150" s="11" t="n">
        <x:v>11.3132</x:v>
      </x:c>
      <x:c r="M150" s="11" t="n">
        <x:v>3.8358</x:v>
      </x:c>
      <x:c r="N150" s="1" t="str">
        <x:v>6898be28591c4e1abe73f83f56b307e4</x:v>
      </x:c>
      <x:c r="O150" s="1" t="str">
        <x:v>Admin Office - 1</x:v>
      </x:c>
      <x:c r="P150" s="1" t="n">
        <x:v>1</x:v>
      </x:c>
      <x:c r="Q150" s="1" t="str">
        <x:v>standard_mode_logs</x:v>
      </x:c>
      <x:c r="R150" s="1" t="n">
        <x:v>65</x:v>
      </x:c>
      <x:c r="S150" s="1" t="str">
        <x:v>Reset exit</x:v>
      </x:c>
      <x:c r="T150" s="1"/>
      <x:c r="U150" s="5" t="str"/>
      <x:c r="V150" s="1" t="n">
        <x:v>0</x:v>
      </x:c>
      <x:c r="W150" s="1" t="n">
        <x:v>0</x:v>
      </x:c>
      <x:c r="X150" s="1" t="str">
        <x:v>Not applicable</x:v>
      </x:c>
      <x:c r="Y150" s="1" t="n">
        <x:f>IF(V150=1,IF(E150="GRANTED",IF(X150="GRANTED",1,0),IF(X150="DENIED",1,0)),0)</x:f>
        <x:v>0</x:v>
      </x:c>
    </x:row>
    <x:row r="151" ht="23" customHeight="1">
      <x:c r="A151" s="9" t="n">
        <x:v>46246.48687121528</x:v>
      </x:c>
      <x:c r="B151" s="1" t="str">
        <x:v>[TEMP] Juan Dela Cruz</x:v>
      </x:c>
      <x:c r="C151" s="1" t="str">
        <x:v>Exit</x:v>
      </x:c>
      <x:c r="D151" s="1" t="str">
        <x:v>Standard</x:v>
      </x:c>
      <x:c r="E151" s="1" t="str">
        <x:v>GRANTED</x:v>
      </x:c>
      <x:c r="F151" s="11" t="n">
        <x:v>10.1863</x:v>
      </x:c>
      <x:c r="G151" s="11" t="str">
        <x:v>N/A (Bypassed)</x:v>
      </x:c>
      <x:c r="H151" s="11" t="str">
        <x:v>N/A (Bypassed)</x:v>
      </x:c>
      <x:c r="I151" s="11" t="str">
        <x:v>N/A (Bypassed)</x:v>
      </x:c>
      <x:c r="J151" s="11" t="str">
        <x:v>N/A (Bypassed)</x:v>
      </x:c>
      <x:c r="K151" s="11" t="str">
        <x:v>N/A</x:v>
      </x:c>
      <x:c r="L151" s="11" t="n">
        <x:v>10.1863</x:v>
      </x:c>
      <x:c r="M151" s="11" t="n">
        <x:v>2.8949</x:v>
      </x:c>
      <x:c r="N151" s="1" t="str">
        <x:v>6898be28591c4e1abe73f83f56b307e4</x:v>
      </x:c>
      <x:c r="O151" s="1" t="str">
        <x:v>Admin Office - 1</x:v>
      </x:c>
      <x:c r="P151" s="1" t="n">
        <x:v>1</x:v>
      </x:c>
      <x:c r="Q151" s="1" t="str">
        <x:v>standard_mode_logs</x:v>
      </x:c>
      <x:c r="R151" s="1" t="n">
        <x:v>66</x:v>
      </x:c>
      <x:c r="S151" s="1" t="str">
        <x:v>Reset exit</x:v>
      </x:c>
      <x:c r="T151" s="1"/>
      <x:c r="U151" s="5" t="str"/>
      <x:c r="V151" s="1" t="n">
        <x:v>0</x:v>
      </x:c>
      <x:c r="W151" s="1" t="n">
        <x:v>0</x:v>
      </x:c>
      <x:c r="X151" s="1" t="str">
        <x:v>Not applicable</x:v>
      </x:c>
      <x:c r="Y151" s="1" t="n">
        <x:f>IF(V151=1,IF(E151="GRANTED",IF(X151="GRANTED",1,0),IF(X151="DENIED",1,0)),0)</x:f>
        <x:v>0</x:v>
      </x:c>
    </x:row>
    <x:row r="152" ht="23" customHeight="1">
      <x:c r="A152" s="9" t="n">
        <x:v>46246.486727766205</x:v>
      </x:c>
      <x:c r="B152" s="1" t="str">
        <x:v>Pedro Penduko</x:v>
      </x:c>
      <x:c r="C152" s="1" t="str">
        <x:v>Entry</x:v>
      </x:c>
      <x:c r="D152" s="1" t="str">
        <x:v>Standard</x:v>
      </x:c>
      <x:c r="E152" s="1" t="str">
        <x:v>GRANTED</x:v>
      </x:c>
      <x:c r="F152" s="11" t="n">
        <x:v>9.6921</x:v>
      </x:c>
      <x:c r="G152" s="11" t="n">
        <x:v>2034.2775</x:v>
      </x:c>
      <x:c r="H152" s="11" t="n">
        <x:v>38.3015</x:v>
      </x:c>
      <x:c r="I152" s="11" t="str">
        <x:v>N/A (Bypassed)</x:v>
      </x:c>
      <x:c r="J152" s="11" t="str">
        <x:v>N/A (Bypassed)</x:v>
      </x:c>
      <x:c r="K152" s="11" t="n">
        <x:v>2034.2775</x:v>
      </x:c>
      <x:c r="L152" s="11" t="n">
        <x:v>47.9936</x:v>
      </x:c>
      <x:c r="M152" s="11" t="n">
        <x:v>41.072</x:v>
      </x:c>
      <x:c r="N152" s="1" t="str">
        <x:v>6898be28591c4e1abe73f83f56b307e4</x:v>
      </x:c>
      <x:c r="O152" s="1" t="str">
        <x:v>Admin Office - 1</x:v>
      </x:c>
      <x:c r="P152" s="1" t="n">
        <x:v>1</x:v>
      </x:c>
      <x:c r="Q152" s="1" t="str">
        <x:v>standard_mode_logs</x:v>
      </x:c>
      <x:c r="R152" s="1" t="n">
        <x:v>67</x:v>
      </x:c>
      <x:c r="S152" s="1" t="str">
        <x:v>Successful entry</x:v>
      </x:c>
      <x:c r="T152" s="1" t="n">
        <x:v>1</x:v>
      </x:c>
      <x:c r="U152" s="5" t="str"/>
      <x:c r="V152" s="1" t="n">
        <x:v>1</x:v>
      </x:c>
      <x:c r="W152" s="1" t="n">
        <x:v>1</x:v>
      </x:c>
      <x:c r="X152" s="1" t="str">
        <x:v>GRANTED</x:v>
      </x:c>
      <x:c r="Y152" s="1" t="n">
        <x:f>IF(V152=1,IF(E152="GRANTED",IF(X152="GRANTED",1,0),IF(X152="DENIED",1,0)),0)</x:f>
        <x:v>1</x:v>
      </x:c>
    </x:row>
    <x:row r="153" ht="23" customHeight="1">
      <x:c r="A153" s="9" t="n">
        <x:v>46246.486656712965</x:v>
      </x:c>
      <x:c r="B153" s="1" t="str">
        <x:v>Juan Tamad</x:v>
      </x:c>
      <x:c r="C153" s="1" t="str">
        <x:v>Entry</x:v>
      </x:c>
      <x:c r="D153" s="1" t="str">
        <x:v>Standard</x:v>
      </x:c>
      <x:c r="E153" s="1" t="str">
        <x:v>GRANTED</x:v>
      </x:c>
      <x:c r="F153" s="11" t="n">
        <x:v>8.9006</x:v>
      </x:c>
      <x:c r="G153" s="11" t="n">
        <x:v>2529.8873</x:v>
      </x:c>
      <x:c r="H153" s="11" t="n">
        <x:v>38.7416</x:v>
      </x:c>
      <x:c r="I153" s="11" t="str">
        <x:v>N/A (Bypassed)</x:v>
      </x:c>
      <x:c r="J153" s="11" t="str">
        <x:v>N/A (Bypassed)</x:v>
      </x:c>
      <x:c r="K153" s="11" t="n">
        <x:v>2529.8873</x:v>
      </x:c>
      <x:c r="L153" s="11" t="n">
        <x:v>47.6422</x:v>
      </x:c>
      <x:c r="M153" s="11" t="n">
        <x:v>39.4573</x:v>
      </x:c>
      <x:c r="N153" s="1" t="str">
        <x:v>6898be28591c4e1abe73f83f56b307e4</x:v>
      </x:c>
      <x:c r="O153" s="1" t="str">
        <x:v>Admin Office - 1</x:v>
      </x:c>
      <x:c r="P153" s="1" t="n">
        <x:v>1</x:v>
      </x:c>
      <x:c r="Q153" s="1" t="str">
        <x:v>standard_mode_logs</x:v>
      </x:c>
      <x:c r="R153" s="1" t="n">
        <x:v>68</x:v>
      </x:c>
      <x:c r="S153" s="1" t="str">
        <x:v>Successful entry</x:v>
      </x:c>
      <x:c r="T153" s="1" t="n">
        <x:v>1</x:v>
      </x:c>
      <x:c r="U153" s="5" t="str"/>
      <x:c r="V153" s="1" t="n">
        <x:v>1</x:v>
      </x:c>
      <x:c r="W153" s="1" t="n">
        <x:v>1</x:v>
      </x:c>
      <x:c r="X153" s="1" t="str">
        <x:v>GRANTED</x:v>
      </x:c>
      <x:c r="Y153" s="1" t="n">
        <x:f>IF(V153=1,IF(E153="GRANTED",IF(X153="GRANTED",1,0),IF(X153="DENIED",1,0)),0)</x:f>
        <x:v>1</x:v>
      </x:c>
    </x:row>
    <x:row r="154" ht="23" customHeight="1">
      <x:c r="A154" s="9" t="n">
        <x:v>46246.48657704861</x:v>
      </x:c>
      <x:c r="B154" s="1" t="str">
        <x:v>Luningning Santos</x:v>
      </x:c>
      <x:c r="C154" s="1" t="str">
        <x:v>Entry</x:v>
      </x:c>
      <x:c r="D154" s="1" t="str">
        <x:v>Standard</x:v>
      </x:c>
      <x:c r="E154" s="1" t="str">
        <x:v>GRANTED</x:v>
      </x:c>
      <x:c r="F154" s="11" t="n">
        <x:v>11.4863</x:v>
      </x:c>
      <x:c r="G154" s="11" t="n">
        <x:v>2969.8913</x:v>
      </x:c>
      <x:c r="H154" s="11" t="n">
        <x:v>38.5436</x:v>
      </x:c>
      <x:c r="I154" s="11" t="str">
        <x:v>N/A (Bypassed)</x:v>
      </x:c>
      <x:c r="J154" s="11" t="str">
        <x:v>N/A (Bypassed)</x:v>
      </x:c>
      <x:c r="K154" s="11" t="n">
        <x:v>2969.8913</x:v>
      </x:c>
      <x:c r="L154" s="11" t="n">
        <x:v>50.0299</x:v>
      </x:c>
      <x:c r="M154" s="11" t="n">
        <x:v>43.0625</x:v>
      </x:c>
      <x:c r="N154" s="1" t="str">
        <x:v>6898be28591c4e1abe73f83f56b307e4</x:v>
      </x:c>
      <x:c r="O154" s="1" t="str">
        <x:v>Admin Office - 1</x:v>
      </x:c>
      <x:c r="P154" s="1" t="n">
        <x:v>1</x:v>
      </x:c>
      <x:c r="Q154" s="1" t="str">
        <x:v>standard_mode_logs</x:v>
      </x:c>
      <x:c r="R154" s="1" t="n">
        <x:v>69</x:v>
      </x:c>
      <x:c r="S154" s="1" t="str">
        <x:v>Successful entry</x:v>
      </x:c>
      <x:c r="T154" s="1" t="n">
        <x:v>1</x:v>
      </x:c>
      <x:c r="U154" s="5" t="str"/>
      <x:c r="V154" s="1" t="n">
        <x:v>1</x:v>
      </x:c>
      <x:c r="W154" s="1" t="n">
        <x:v>1</x:v>
      </x:c>
      <x:c r="X154" s="1" t="str">
        <x:v>GRANTED</x:v>
      </x:c>
      <x:c r="Y154" s="1" t="n">
        <x:f>IF(V154=1,IF(E154="GRANTED",IF(X154="GRANTED",1,0),IF(X154="DENIED",1,0)),0)</x:f>
        <x:v>1</x:v>
      </x:c>
    </x:row>
    <x:row r="155" ht="23" customHeight="1">
      <x:c r="A155" s="9" t="n">
        <x:v>46246.48649638889</x:v>
      </x:c>
      <x:c r="B155" s="1" t="str">
        <x:v>Teresita Gonzales</x:v>
      </x:c>
      <x:c r="C155" s="1" t="str">
        <x:v>Entry</x:v>
      </x:c>
      <x:c r="D155" s="1" t="str">
        <x:v>Standard</x:v>
      </x:c>
      <x:c r="E155" s="1" t="str">
        <x:v>GRANTED</x:v>
      </x:c>
      <x:c r="F155" s="11" t="n">
        <x:v>12.2331</x:v>
      </x:c>
      <x:c r="G155" s="11" t="n">
        <x:v>3078.7303</x:v>
      </x:c>
      <x:c r="H155" s="11" t="n">
        <x:v>37.4554</x:v>
      </x:c>
      <x:c r="I155" s="11" t="str">
        <x:v>N/A (Bypassed)</x:v>
      </x:c>
      <x:c r="J155" s="11" t="str">
        <x:v>N/A (Bypassed)</x:v>
      </x:c>
      <x:c r="K155" s="11" t="n">
        <x:v>3078.7303</x:v>
      </x:c>
      <x:c r="L155" s="11" t="n">
        <x:v>49.6885</x:v>
      </x:c>
      <x:c r="M155" s="11" t="n">
        <x:v>42.2082</x:v>
      </x:c>
      <x:c r="N155" s="1" t="str">
        <x:v>6898be28591c4e1abe73f83f56b307e4</x:v>
      </x:c>
      <x:c r="O155" s="1" t="str">
        <x:v>Admin Office - 1</x:v>
      </x:c>
      <x:c r="P155" s="1" t="n">
        <x:v>1</x:v>
      </x:c>
      <x:c r="Q155" s="1" t="str">
        <x:v>standard_mode_logs</x:v>
      </x:c>
      <x:c r="R155" s="1" t="n">
        <x:v>70</x:v>
      </x:c>
      <x:c r="S155" s="1" t="str">
        <x:v>Successful entry</x:v>
      </x:c>
      <x:c r="T155" s="1" t="n">
        <x:v>1</x:v>
      </x:c>
      <x:c r="U155" s="5" t="str"/>
      <x:c r="V155" s="1" t="n">
        <x:v>1</x:v>
      </x:c>
      <x:c r="W155" s="1" t="n">
        <x:v>1</x:v>
      </x:c>
      <x:c r="X155" s="1" t="str">
        <x:v>GRANTED</x:v>
      </x:c>
      <x:c r="Y155" s="1" t="n">
        <x:f>IF(V155=1,IF(E155="GRANTED",IF(X155="GRANTED",1,0),IF(X155="DENIED",1,0)),0)</x:f>
        <x:v>1</x:v>
      </x:c>
    </x:row>
    <x:row r="156" ht="23" customHeight="1">
      <x:c r="A156" s="9" t="n">
        <x:v>46246.486402291666</x:v>
      </x:c>
      <x:c r="B156" s="1" t="str">
        <x:v>Ana Delos Reyes</x:v>
      </x:c>
      <x:c r="C156" s="1" t="str">
        <x:v>Entry</x:v>
      </x:c>
      <x:c r="D156" s="1" t="str">
        <x:v>Standard</x:v>
      </x:c>
      <x:c r="E156" s="1" t="str">
        <x:v>GRANTED</x:v>
      </x:c>
      <x:c r="F156" s="11" t="n">
        <x:v>10.3778</x:v>
      </x:c>
      <x:c r="G156" s="11" t="n">
        <x:v>3849.3531</x:v>
      </x:c>
      <x:c r="H156" s="11" t="n">
        <x:v>39.0423</x:v>
      </x:c>
      <x:c r="I156" s="11" t="str">
        <x:v>N/A (Bypassed)</x:v>
      </x:c>
      <x:c r="J156" s="11" t="str">
        <x:v>N/A (Bypassed)</x:v>
      </x:c>
      <x:c r="K156" s="11" t="n">
        <x:v>3849.3531</x:v>
      </x:c>
      <x:c r="L156" s="11" t="n">
        <x:v>49.4201</x:v>
      </x:c>
      <x:c r="M156" s="11" t="n">
        <x:v>42.6802</x:v>
      </x:c>
      <x:c r="N156" s="1" t="str">
        <x:v>6898be28591c4e1abe73f83f56b307e4</x:v>
      </x:c>
      <x:c r="O156" s="1" t="str">
        <x:v>Admin Office - 1</x:v>
      </x:c>
      <x:c r="P156" s="1" t="n">
        <x:v>1</x:v>
      </x:c>
      <x:c r="Q156" s="1" t="str">
        <x:v>standard_mode_logs</x:v>
      </x:c>
      <x:c r="R156" s="1" t="n">
        <x:v>71</x:v>
      </x:c>
      <x:c r="S156" s="1" t="str">
        <x:v>Successful entry</x:v>
      </x:c>
      <x:c r="T156" s="1" t="n">
        <x:v>1</x:v>
      </x:c>
      <x:c r="U156" s="5" t="str"/>
      <x:c r="V156" s="1" t="n">
        <x:v>1</x:v>
      </x:c>
      <x:c r="W156" s="1" t="n">
        <x:v>1</x:v>
      </x:c>
      <x:c r="X156" s="1" t="str">
        <x:v>GRANTED</x:v>
      </x:c>
      <x:c r="Y156" s="1" t="n">
        <x:f>IF(V156=1,IF(E156="GRANTED",IF(X156="GRANTED",1,0),IF(X156="DENIED",1,0)),0)</x:f>
        <x:v>1</x:v>
      </x:c>
    </x:row>
    <x:row r="157" ht="23" customHeight="1">
      <x:c r="A157" s="9" t="n">
        <x:v>46246.48627905092</x:v>
      </x:c>
      <x:c r="B157" s="1" t="str">
        <x:v>Maria Santos</x:v>
      </x:c>
      <x:c r="C157" s="1" t="str">
        <x:v>Entry</x:v>
      </x:c>
      <x:c r="D157" s="1" t="str">
        <x:v>Standard</x:v>
      </x:c>
      <x:c r="E157" s="1" t="str">
        <x:v>GRANTED</x:v>
      </x:c>
      <x:c r="F157" s="11" t="n">
        <x:v>12.138</x:v>
      </x:c>
      <x:c r="G157" s="11" t="n">
        <x:v>4675.6054</x:v>
      </x:c>
      <x:c r="H157" s="11" t="n">
        <x:v>39.7235</x:v>
      </x:c>
      <x:c r="I157" s="11" t="str">
        <x:v>N/A (Bypassed)</x:v>
      </x:c>
      <x:c r="J157" s="11" t="str">
        <x:v>N/A (Bypassed)</x:v>
      </x:c>
      <x:c r="K157" s="11" t="n">
        <x:v>4675.6054</x:v>
      </x:c>
      <x:c r="L157" s="11" t="n">
        <x:v>51.8615</x:v>
      </x:c>
      <x:c r="M157" s="11" t="n">
        <x:v>42.6523</x:v>
      </x:c>
      <x:c r="N157" s="1" t="str">
        <x:v>6898be28591c4e1abe73f83f56b307e4</x:v>
      </x:c>
      <x:c r="O157" s="1" t="str">
        <x:v>Admin Office - 1</x:v>
      </x:c>
      <x:c r="P157" s="1" t="n">
        <x:v>1</x:v>
      </x:c>
      <x:c r="Q157" s="1" t="str">
        <x:v>standard_mode_logs</x:v>
      </x:c>
      <x:c r="R157" s="1" t="n">
        <x:v>72</x:v>
      </x:c>
      <x:c r="S157" s="1" t="str">
        <x:v>Successful entry</x:v>
      </x:c>
      <x:c r="T157" s="1" t="n">
        <x:v>1</x:v>
      </x:c>
      <x:c r="U157" s="5" t="str"/>
      <x:c r="V157" s="1" t="n">
        <x:v>1</x:v>
      </x:c>
      <x:c r="W157" s="1" t="n">
        <x:v>1</x:v>
      </x:c>
      <x:c r="X157" s="1" t="str">
        <x:v>GRANTED</x:v>
      </x:c>
      <x:c r="Y157" s="1" t="n">
        <x:f>IF(V157=1,IF(E157="GRANTED",IF(X157="GRANTED",1,0),IF(X157="DENIED",1,0)),0)</x:f>
        <x:v>1</x:v>
      </x:c>
    </x:row>
    <x:row r="158" ht="23" customHeight="1">
      <x:c r="A158" s="9" t="n">
        <x:v>46246.48614581018</x:v>
      </x:c>
      <x:c r="B158" s="1" t="str">
        <x:v>Maria Clara</x:v>
      </x:c>
      <x:c r="C158" s="1" t="str">
        <x:v>Entry</x:v>
      </x:c>
      <x:c r="D158" s="1" t="str">
        <x:v>Standard</x:v>
      </x:c>
      <x:c r="E158" s="1" t="str">
        <x:v>GRANTED</x:v>
      </x:c>
      <x:c r="F158" s="11" t="n">
        <x:v>12.0159</x:v>
      </x:c>
      <x:c r="G158" s="11" t="n">
        <x:v>2970.4942</x:v>
      </x:c>
      <x:c r="H158" s="11" t="n">
        <x:v>35.5606</x:v>
      </x:c>
      <x:c r="I158" s="11" t="str">
        <x:v>N/A (Bypassed)</x:v>
      </x:c>
      <x:c r="J158" s="11" t="str">
        <x:v>N/A (Bypassed)</x:v>
      </x:c>
      <x:c r="K158" s="11" t="n">
        <x:v>2970.4942</x:v>
      </x:c>
      <x:c r="L158" s="11" t="n">
        <x:v>47.5765</x:v>
      </x:c>
      <x:c r="M158" s="11" t="n">
        <x:v>40.3775</x:v>
      </x:c>
      <x:c r="N158" s="1" t="str">
        <x:v>6898be28591c4e1abe73f83f56b307e4</x:v>
      </x:c>
      <x:c r="O158" s="1" t="str">
        <x:v>Admin Office - 1</x:v>
      </x:c>
      <x:c r="P158" s="1" t="n">
        <x:v>1</x:v>
      </x:c>
      <x:c r="Q158" s="1" t="str">
        <x:v>standard_mode_logs</x:v>
      </x:c>
      <x:c r="R158" s="1" t="n">
        <x:v>73</x:v>
      </x:c>
      <x:c r="S158" s="1" t="str">
        <x:v>Successful entry</x:v>
      </x:c>
      <x:c r="T158" s="1" t="n">
        <x:v>1</x:v>
      </x:c>
      <x:c r="U158" s="5" t="str"/>
      <x:c r="V158" s="1" t="n">
        <x:v>1</x:v>
      </x:c>
      <x:c r="W158" s="1" t="n">
        <x:v>1</x:v>
      </x:c>
      <x:c r="X158" s="1" t="str">
        <x:v>GRANTED</x:v>
      </x:c>
      <x:c r="Y158" s="1" t="n">
        <x:f>IF(V158=1,IF(E158="GRANTED",IF(X158="GRANTED",1,0),IF(X158="DENIED",1,0)),0)</x:f>
        <x:v>1</x:v>
      </x:c>
    </x:row>
    <x:row r="159" ht="23" customHeight="1">
      <x:c r="A159" s="9" t="n">
        <x:v>46246.48605634259</x:v>
      </x:c>
      <x:c r="B159" s="1" t="str">
        <x:v>Juana Dela Cruz</x:v>
      </x:c>
      <x:c r="C159" s="1" t="str">
        <x:v>Entry</x:v>
      </x:c>
      <x:c r="D159" s="1" t="str">
        <x:v>Standard</x:v>
      </x:c>
      <x:c r="E159" s="1" t="str">
        <x:v>GRANTED</x:v>
      </x:c>
      <x:c r="F159" s="11" t="n">
        <x:v>10.6188</x:v>
      </x:c>
      <x:c r="G159" s="11" t="n">
        <x:v>2475.7303</x:v>
      </x:c>
      <x:c r="H159" s="11" t="n">
        <x:v>46.9432</x:v>
      </x:c>
      <x:c r="I159" s="11" t="str">
        <x:v>N/A (Bypassed)</x:v>
      </x:c>
      <x:c r="J159" s="11" t="str">
        <x:v>N/A (Bypassed)</x:v>
      </x:c>
      <x:c r="K159" s="11" t="n">
        <x:v>2475.7303</x:v>
      </x:c>
      <x:c r="L159" s="11" t="n">
        <x:v>57.562</x:v>
      </x:c>
      <x:c r="M159" s="11" t="n">
        <x:v>49.6687</x:v>
      </x:c>
      <x:c r="N159" s="1" t="str">
        <x:v>6898be28591c4e1abe73f83f56b307e4</x:v>
      </x:c>
      <x:c r="O159" s="1" t="str">
        <x:v>Admin Office - 1</x:v>
      </x:c>
      <x:c r="P159" s="1" t="n">
        <x:v>1</x:v>
      </x:c>
      <x:c r="Q159" s="1" t="str">
        <x:v>standard_mode_logs</x:v>
      </x:c>
      <x:c r="R159" s="1" t="n">
        <x:v>74</x:v>
      </x:c>
      <x:c r="S159" s="1" t="str">
        <x:v>Successful entry</x:v>
      </x:c>
      <x:c r="T159" s="1" t="n">
        <x:v>1</x:v>
      </x:c>
      <x:c r="U159" s="5" t="str"/>
      <x:c r="V159" s="1" t="n">
        <x:v>1</x:v>
      </x:c>
      <x:c r="W159" s="1" t="n">
        <x:v>1</x:v>
      </x:c>
      <x:c r="X159" s="1" t="str">
        <x:v>GRANTED</x:v>
      </x:c>
      <x:c r="Y159" s="1" t="n">
        <x:f>IF(V159=1,IF(E159="GRANTED",IF(X159="GRANTED",1,0),IF(X159="DENIED",1,0)),0)</x:f>
        <x:v>1</x:v>
      </x:c>
    </x:row>
    <x:row r="160" ht="23" customHeight="1">
      <x:c r="A160" s="9" t="n">
        <x:v>46246.48594293982</x:v>
      </x:c>
      <x:c r="B160" s="1" t="str">
        <x:v>Maria Dela Cruz</x:v>
      </x:c>
      <x:c r="C160" s="1" t="str">
        <x:v>Entry</x:v>
      </x:c>
      <x:c r="D160" s="1" t="str">
        <x:v>Standard</x:v>
      </x:c>
      <x:c r="E160" s="1" t="str">
        <x:v>GRANTED</x:v>
      </x:c>
      <x:c r="F160" s="11" t="n">
        <x:v>12.9711</x:v>
      </x:c>
      <x:c r="G160" s="11" t="n">
        <x:v>1980.3323</x:v>
      </x:c>
      <x:c r="H160" s="11" t="n">
        <x:v>37.6548</x:v>
      </x:c>
      <x:c r="I160" s="11" t="str">
        <x:v>N/A (Bypassed)</x:v>
      </x:c>
      <x:c r="J160" s="11" t="str">
        <x:v>N/A (Bypassed)</x:v>
      </x:c>
      <x:c r="K160" s="11" t="n">
        <x:v>1980.3323</x:v>
      </x:c>
      <x:c r="L160" s="11" t="n">
        <x:v>50.6259</x:v>
      </x:c>
      <x:c r="M160" s="11" t="n">
        <x:v>42.7079</x:v>
      </x:c>
      <x:c r="N160" s="1" t="str">
        <x:v>6898be28591c4e1abe73f83f56b307e4</x:v>
      </x:c>
      <x:c r="O160" s="1" t="str">
        <x:v>Admin Office - 1</x:v>
      </x:c>
      <x:c r="P160" s="1" t="n">
        <x:v>1</x:v>
      </x:c>
      <x:c r="Q160" s="1" t="str">
        <x:v>standard_mode_logs</x:v>
      </x:c>
      <x:c r="R160" s="1" t="n">
        <x:v>75</x:v>
      </x:c>
      <x:c r="S160" s="1" t="str">
        <x:v>Successful entry</x:v>
      </x:c>
      <x:c r="T160" s="1" t="n">
        <x:v>1</x:v>
      </x:c>
      <x:c r="U160" s="5" t="str"/>
      <x:c r="V160" s="1" t="n">
        <x:v>1</x:v>
      </x:c>
      <x:c r="W160" s="1" t="n">
        <x:v>1</x:v>
      </x:c>
      <x:c r="X160" s="1" t="str">
        <x:v>GRANTED</x:v>
      </x:c>
      <x:c r="Y160" s="1" t="n">
        <x:f>IF(V160=1,IF(E160="GRANTED",IF(X160="GRANTED",1,0),IF(X160="DENIED",1,0)),0)</x:f>
        <x:v>1</x:v>
      </x:c>
    </x:row>
    <x:row r="161" ht="23" customHeight="1">
      <x:c r="A161" s="9" t="n">
        <x:v>46246.48586699074</x:v>
      </x:c>
      <x:c r="B161" s="1" t="str">
        <x:v>Basilio Magbanua</x:v>
      </x:c>
      <x:c r="C161" s="1" t="str">
        <x:v>Entry</x:v>
      </x:c>
      <x:c r="D161" s="1" t="str">
        <x:v>Standard</x:v>
      </x:c>
      <x:c r="E161" s="1" t="str">
        <x:v>GRANTED</x:v>
      </x:c>
      <x:c r="F161" s="11" t="n">
        <x:v>11.3097</x:v>
      </x:c>
      <x:c r="G161" s="11" t="n">
        <x:v>1871.0105</x:v>
      </x:c>
      <x:c r="H161" s="11" t="n">
        <x:v>40.0795</x:v>
      </x:c>
      <x:c r="I161" s="11" t="str">
        <x:v>N/A (Bypassed)</x:v>
      </x:c>
      <x:c r="J161" s="11" t="str">
        <x:v>N/A (Bypassed)</x:v>
      </x:c>
      <x:c r="K161" s="11" t="n">
        <x:v>1871.0105</x:v>
      </x:c>
      <x:c r="L161" s="11" t="n">
        <x:v>51.3892</x:v>
      </x:c>
      <x:c r="M161" s="11" t="n">
        <x:v>43.1425</x:v>
      </x:c>
      <x:c r="N161" s="1" t="str">
        <x:v>6898be28591c4e1abe73f83f56b307e4</x:v>
      </x:c>
      <x:c r="O161" s="1" t="str">
        <x:v>Admin Office - 1</x:v>
      </x:c>
      <x:c r="P161" s="1" t="n">
        <x:v>1</x:v>
      </x:c>
      <x:c r="Q161" s="1" t="str">
        <x:v>standard_mode_logs</x:v>
      </x:c>
      <x:c r="R161" s="1" t="n">
        <x:v>76</x:v>
      </x:c>
      <x:c r="S161" s="1" t="str">
        <x:v>Successful entry</x:v>
      </x:c>
      <x:c r="T161" s="1" t="n">
        <x:v>1</x:v>
      </x:c>
      <x:c r="U161" s="5" t="str"/>
      <x:c r="V161" s="1" t="n">
        <x:v>1</x:v>
      </x:c>
      <x:c r="W161" s="1" t="n">
        <x:v>1</x:v>
      </x:c>
      <x:c r="X161" s="1" t="str">
        <x:v>GRANTED</x:v>
      </x:c>
      <x:c r="Y161" s="1" t="n">
        <x:f>IF(V161=1,IF(E161="GRANTED",IF(X161="GRANTED",1,0),IF(X161="DENIED",1,0)),0)</x:f>
        <x:v>1</x:v>
      </x:c>
    </x:row>
    <x:row r="162" ht="23" customHeight="1">
      <x:c r="A162" s="9" t="n">
        <x:v>46246.48579021991</x:v>
      </x:c>
      <x:c r="B162" s="1" t="str">
        <x:v>Bayani Dela Rosa</x:v>
      </x:c>
      <x:c r="C162" s="1" t="str">
        <x:v>Entry</x:v>
      </x:c>
      <x:c r="D162" s="1" t="str">
        <x:v>Standard</x:v>
      </x:c>
      <x:c r="E162" s="1" t="str">
        <x:v>GRANTED</x:v>
      </x:c>
      <x:c r="F162" s="11" t="n">
        <x:v>34.3803</x:v>
      </x:c>
      <x:c r="G162" s="11" t="n">
        <x:v>6875.1125</x:v>
      </x:c>
      <x:c r="H162" s="11" t="n">
        <x:v>44.6387</x:v>
      </x:c>
      <x:c r="I162" s="11" t="str">
        <x:v>N/A (Bypassed)</x:v>
      </x:c>
      <x:c r="J162" s="11" t="str">
        <x:v>N/A (Bypassed)</x:v>
      </x:c>
      <x:c r="K162" s="11" t="n">
        <x:v>6875.1125</x:v>
      </x:c>
      <x:c r="L162" s="11" t="n">
        <x:v>79.019</x:v>
      </x:c>
      <x:c r="M162" s="11" t="n">
        <x:v>71.3019</x:v>
      </x:c>
      <x:c r="N162" s="1" t="str">
        <x:v>6898be28591c4e1abe73f83f56b307e4</x:v>
      </x:c>
      <x:c r="O162" s="1" t="str">
        <x:v>Admin Office - 1</x:v>
      </x:c>
      <x:c r="P162" s="1" t="n">
        <x:v>1</x:v>
      </x:c>
      <x:c r="Q162" s="1" t="str">
        <x:v>standard_mode_logs</x:v>
      </x:c>
      <x:c r="R162" s="1" t="n">
        <x:v>77</x:v>
      </x:c>
      <x:c r="S162" s="1" t="str">
        <x:v>Successful entry</x:v>
      </x:c>
      <x:c r="T162" s="1" t="n">
        <x:v>1</x:v>
      </x:c>
      <x:c r="U162" s="5" t="str"/>
      <x:c r="V162" s="1" t="n">
        <x:v>1</x:v>
      </x:c>
      <x:c r="W162" s="1" t="n">
        <x:v>1</x:v>
      </x:c>
      <x:c r="X162" s="1" t="str">
        <x:v>GRANTED</x:v>
      </x:c>
      <x:c r="Y162" s="1" t="n">
        <x:f>IF(V162=1,IF(E162="GRANTED",IF(X162="GRANTED",1,0),IF(X162="DENIED",1,0)),0)</x:f>
        <x:v>1</x:v>
      </x:c>
    </x:row>
    <x:row r="163" ht="23" customHeight="1">
      <x:c r="A163" s="9" t="n">
        <x:v>46246.48565957176</x:v>
      </x:c>
      <x:c r="B163" s="1" t="str">
        <x:v>Jose Mari Bautista</x:v>
      </x:c>
      <x:c r="C163" s="1" t="str">
        <x:v>Entry</x:v>
      </x:c>
      <x:c r="D163" s="1" t="str">
        <x:v>Standard</x:v>
      </x:c>
      <x:c r="E163" s="1" t="str">
        <x:v>GRANTED</x:v>
      </x:c>
      <x:c r="F163" s="11" t="n">
        <x:v>38.8161</x:v>
      </x:c>
      <x:c r="G163" s="11" t="n">
        <x:v>1869.7062</x:v>
      </x:c>
      <x:c r="H163" s="11" t="n">
        <x:v>71.6724</x:v>
      </x:c>
      <x:c r="I163" s="11" t="str">
        <x:v>N/A (Bypassed)</x:v>
      </x:c>
      <x:c r="J163" s="11" t="str">
        <x:v>N/A (Bypassed)</x:v>
      </x:c>
      <x:c r="K163" s="11" t="n">
        <x:v>1869.7062</x:v>
      </x:c>
      <x:c r="L163" s="11" t="n">
        <x:v>110.4885</x:v>
      </x:c>
      <x:c r="M163" s="11" t="n">
        <x:v>74.7147</x:v>
      </x:c>
      <x:c r="N163" s="1" t="str">
        <x:v>6898be28591c4e1abe73f83f56b307e4</x:v>
      </x:c>
      <x:c r="O163" s="1" t="str">
        <x:v>Admin Office - 1</x:v>
      </x:c>
      <x:c r="P163" s="1" t="n">
        <x:v>1</x:v>
      </x:c>
      <x:c r="Q163" s="1" t="str">
        <x:v>standard_mode_logs</x:v>
      </x:c>
      <x:c r="R163" s="1" t="n">
        <x:v>78</x:v>
      </x:c>
      <x:c r="S163" s="1" t="str">
        <x:v>Successful entry</x:v>
      </x:c>
      <x:c r="T163" s="1" t="n">
        <x:v>1</x:v>
      </x:c>
      <x:c r="U163" s="5" t="str"/>
      <x:c r="V163" s="1" t="n">
        <x:v>1</x:v>
      </x:c>
      <x:c r="W163" s="1" t="n">
        <x:v>1</x:v>
      </x:c>
      <x:c r="X163" s="1" t="str">
        <x:v>GRANTED</x:v>
      </x:c>
      <x:c r="Y163" s="1" t="n">
        <x:f>IF(V163=1,IF(E163="GRANTED",IF(X163="GRANTED",1,0),IF(X163="DENIED",1,0)),0)</x:f>
        <x:v>1</x:v>
      </x:c>
    </x:row>
    <x:row r="164" ht="23" customHeight="1">
      <x:c r="A164" s="9" t="n">
        <x:v>46246.485580092594</x:v>
      </x:c>
      <x:c r="B164" s="1" t="str">
        <x:v>Angelito Fernandez</x:v>
      </x:c>
      <x:c r="C164" s="1" t="str">
        <x:v>Entry</x:v>
      </x:c>
      <x:c r="D164" s="1" t="str">
        <x:v>Standard</x:v>
      </x:c>
      <x:c r="E164" s="1" t="str">
        <x:v>GRANTED</x:v>
      </x:c>
      <x:c r="F164" s="11" t="n">
        <x:v>12.9854</x:v>
      </x:c>
      <x:c r="G164" s="11" t="n">
        <x:v>1705.4578</x:v>
      </x:c>
      <x:c r="H164" s="11" t="n">
        <x:v>38.844</x:v>
      </x:c>
      <x:c r="I164" s="11" t="str">
        <x:v>N/A (Bypassed)</x:v>
      </x:c>
      <x:c r="J164" s="11" t="str">
        <x:v>N/A (Bypassed)</x:v>
      </x:c>
      <x:c r="K164" s="11" t="n">
        <x:v>1705.4578</x:v>
      </x:c>
      <x:c r="L164" s="11" t="n">
        <x:v>51.8294</x:v>
      </x:c>
      <x:c r="M164" s="11" t="n">
        <x:v>41.8705</x:v>
      </x:c>
      <x:c r="N164" s="1" t="str">
        <x:v>6898be28591c4e1abe73f83f56b307e4</x:v>
      </x:c>
      <x:c r="O164" s="1" t="str">
        <x:v>Admin Office - 1</x:v>
      </x:c>
      <x:c r="P164" s="1" t="n">
        <x:v>1</x:v>
      </x:c>
      <x:c r="Q164" s="1" t="str">
        <x:v>standard_mode_logs</x:v>
      </x:c>
      <x:c r="R164" s="1" t="n">
        <x:v>79</x:v>
      </x:c>
      <x:c r="S164" s="1" t="str">
        <x:v>Successful entry</x:v>
      </x:c>
      <x:c r="T164" s="1" t="n">
        <x:v>1</x:v>
      </x:c>
      <x:c r="U164" s="5" t="str"/>
      <x:c r="V164" s="1" t="n">
        <x:v>1</x:v>
      </x:c>
      <x:c r="W164" s="1" t="n">
        <x:v>1</x:v>
      </x:c>
      <x:c r="X164" s="1" t="str">
        <x:v>GRANTED</x:v>
      </x:c>
      <x:c r="Y164" s="1" t="n">
        <x:f>IF(V164=1,IF(E164="GRANTED",IF(X164="GRANTED",1,0),IF(X164="DENIED",1,0)),0)</x:f>
        <x:v>1</x:v>
      </x:c>
    </x:row>
    <x:row r="165" ht="23" customHeight="1">
      <x:c r="A165" s="9" t="n">
        <x:v>46246.48550451389</x:v>
      </x:c>
      <x:c r="B165" s="1" t="str">
        <x:v>Roberto Ramos</x:v>
      </x:c>
      <x:c r="C165" s="1" t="str">
        <x:v>Entry</x:v>
      </x:c>
      <x:c r="D165" s="1" t="str">
        <x:v>Standard</x:v>
      </x:c>
      <x:c r="E165" s="1" t="str">
        <x:v>GRANTED</x:v>
      </x:c>
      <x:c r="F165" s="11" t="n">
        <x:v>10.0002</x:v>
      </x:c>
      <x:c r="G165" s="11" t="n">
        <x:v>1924.6039</x:v>
      </x:c>
      <x:c r="H165" s="11" t="n">
        <x:v>37.2126</x:v>
      </x:c>
      <x:c r="I165" s="11" t="str">
        <x:v>N/A (Bypassed)</x:v>
      </x:c>
      <x:c r="J165" s="11" t="str">
        <x:v>N/A (Bypassed)</x:v>
      </x:c>
      <x:c r="K165" s="11" t="n">
        <x:v>1924.6039</x:v>
      </x:c>
      <x:c r="L165" s="11" t="n">
        <x:v>47.2128</x:v>
      </x:c>
      <x:c r="M165" s="11" t="n">
        <x:v>39.7069</x:v>
      </x:c>
      <x:c r="N165" s="1" t="str">
        <x:v>6898be28591c4e1abe73f83f56b307e4</x:v>
      </x:c>
      <x:c r="O165" s="1" t="str">
        <x:v>Admin Office - 1</x:v>
      </x:c>
      <x:c r="P165" s="1" t="n">
        <x:v>1</x:v>
      </x:c>
      <x:c r="Q165" s="1" t="str">
        <x:v>standard_mode_logs</x:v>
      </x:c>
      <x:c r="R165" s="1" t="n">
        <x:v>80</x:v>
      </x:c>
      <x:c r="S165" s="1" t="str">
        <x:v>Successful entry</x:v>
      </x:c>
      <x:c r="T165" s="1" t="n">
        <x:v>1</x:v>
      </x:c>
      <x:c r="U165" s="5" t="str"/>
      <x:c r="V165" s="1" t="n">
        <x:v>1</x:v>
      </x:c>
      <x:c r="W165" s="1" t="n">
        <x:v>1</x:v>
      </x:c>
      <x:c r="X165" s="1" t="str">
        <x:v>GRANTED</x:v>
      </x:c>
      <x:c r="Y165" s="1" t="n">
        <x:f>IF(V165=1,IF(E165="GRANTED",IF(X165="GRANTED",1,0),IF(X165="DENIED",1,0)),0)</x:f>
        <x:v>1</x:v>
      </x:c>
    </x:row>
    <x:row r="166" ht="23" customHeight="1">
      <x:c r="A166" s="9" t="n">
        <x:v>46246.48542660879</x:v>
      </x:c>
      <x:c r="B166" s="1" t="str">
        <x:v>Juanito Delos Santos</x:v>
      </x:c>
      <x:c r="C166" s="1" t="str">
        <x:v>Entry</x:v>
      </x:c>
      <x:c r="D166" s="1" t="str">
        <x:v>Standard</x:v>
      </x:c>
      <x:c r="E166" s="1" t="str">
        <x:v>GRANTED</x:v>
      </x:c>
      <x:c r="F166" s="11" t="n">
        <x:v>12.1577</x:v>
      </x:c>
      <x:c r="G166" s="11" t="n">
        <x:v>1869.9447</x:v>
      </x:c>
      <x:c r="H166" s="11" t="n">
        <x:v>38.7513</x:v>
      </x:c>
      <x:c r="I166" s="11" t="str">
        <x:v>N/A (Bypassed)</x:v>
      </x:c>
      <x:c r="J166" s="11" t="str">
        <x:v>N/A (Bypassed)</x:v>
      </x:c>
      <x:c r="K166" s="11" t="n">
        <x:v>1869.9447</x:v>
      </x:c>
      <x:c r="L166" s="11" t="n">
        <x:v>50.909</x:v>
      </x:c>
      <x:c r="M166" s="11" t="n">
        <x:v>42.6488</x:v>
      </x:c>
      <x:c r="N166" s="1" t="str">
        <x:v>6898be28591c4e1abe73f83f56b307e4</x:v>
      </x:c>
      <x:c r="O166" s="1" t="str">
        <x:v>Admin Office - 1</x:v>
      </x:c>
      <x:c r="P166" s="1" t="n">
        <x:v>1</x:v>
      </x:c>
      <x:c r="Q166" s="1" t="str">
        <x:v>standard_mode_logs</x:v>
      </x:c>
      <x:c r="R166" s="1" t="n">
        <x:v>81</x:v>
      </x:c>
      <x:c r="S166" s="1" t="str">
        <x:v>Successful entry</x:v>
      </x:c>
      <x:c r="T166" s="1" t="n">
        <x:v>1</x:v>
      </x:c>
      <x:c r="U166" s="5" t="str"/>
      <x:c r="V166" s="1" t="n">
        <x:v>1</x:v>
      </x:c>
      <x:c r="W166" s="1" t="n">
        <x:v>1</x:v>
      </x:c>
      <x:c r="X166" s="1" t="str">
        <x:v>GRANTED</x:v>
      </x:c>
      <x:c r="Y166" s="1" t="n">
        <x:f>IF(V166=1,IF(E166="GRANTED",IF(X166="GRANTED",1,0),IF(X166="DENIED",1,0)),0)</x:f>
        <x:v>1</x:v>
      </x:c>
    </x:row>
    <x:row r="167" ht="23" customHeight="1">
      <x:c r="A167" s="9" t="n">
        <x:v>46246.48535113426</x:v>
      </x:c>
      <x:c r="B167" s="1" t="str">
        <x:v>[TEMP] Manuel Mendoza</x:v>
      </x:c>
      <x:c r="C167" s="1" t="str">
        <x:v>Entry</x:v>
      </x:c>
      <x:c r="D167" s="1" t="str">
        <x:v>Standard</x:v>
      </x:c>
      <x:c r="E167" s="1" t="str">
        <x:v>GRANTED</x:v>
      </x:c>
      <x:c r="F167" s="11" t="n">
        <x:v>11.6836</x:v>
      </x:c>
      <x:c r="G167" s="11" t="n">
        <x:v>1760.1907</x:v>
      </x:c>
      <x:c r="H167" s="11" t="n">
        <x:v>37.8135</x:v>
      </x:c>
      <x:c r="I167" s="11" t="str">
        <x:v>N/A (Bypassed)</x:v>
      </x:c>
      <x:c r="J167" s="11" t="str">
        <x:v>N/A (Bypassed)</x:v>
      </x:c>
      <x:c r="K167" s="11" t="n">
        <x:v>1760.1907</x:v>
      </x:c>
      <x:c r="L167" s="11" t="n">
        <x:v>49.4971</x:v>
      </x:c>
      <x:c r="M167" s="11" t="n">
        <x:v>40.521</x:v>
      </x:c>
      <x:c r="N167" s="1" t="str">
        <x:v>6898be28591c4e1abe73f83f56b307e4</x:v>
      </x:c>
      <x:c r="O167" s="1" t="str">
        <x:v>Admin Office - 1</x:v>
      </x:c>
      <x:c r="P167" s="1" t="n">
        <x:v>1</x:v>
      </x:c>
      <x:c r="Q167" s="1" t="str">
        <x:v>standard_mode_logs</x:v>
      </x:c>
      <x:c r="R167" s="1" t="n">
        <x:v>82</x:v>
      </x:c>
      <x:c r="S167" s="1" t="str">
        <x:v>Successful entry</x:v>
      </x:c>
      <x:c r="T167" s="1" t="n">
        <x:v>1</x:v>
      </x:c>
      <x:c r="U167" s="5" t="str"/>
      <x:c r="V167" s="1" t="n">
        <x:v>1</x:v>
      </x:c>
      <x:c r="W167" s="1" t="n">
        <x:v>1</x:v>
      </x:c>
      <x:c r="X167" s="1" t="str">
        <x:v>GRANTED</x:v>
      </x:c>
      <x:c r="Y167" s="1" t="n">
        <x:f>IF(V167=1,IF(E167="GRANTED",IF(X167="GRANTED",1,0),IF(X167="DENIED",1,0)),0)</x:f>
        <x:v>1</x:v>
      </x:c>
    </x:row>
    <x:row r="168" ht="23" customHeight="1">
      <x:c r="A168" s="9" t="n">
        <x:v>46246.48527787037</x:v>
      </x:c>
      <x:c r="B168" s="1" t="str">
        <x:v>Francisco Garcia</x:v>
      </x:c>
      <x:c r="C168" s="1" t="str">
        <x:v>Entry</x:v>
      </x:c>
      <x:c r="D168" s="1" t="str">
        <x:v>Standard</x:v>
      </x:c>
      <x:c r="E168" s="1" t="str">
        <x:v>GRANTED</x:v>
      </x:c>
      <x:c r="F168" s="11" t="n">
        <x:v>10.225</x:v>
      </x:c>
      <x:c r="G168" s="11" t="n">
        <x:v>2309.8556</x:v>
      </x:c>
      <x:c r="H168" s="11" t="n">
        <x:v>38.4373</x:v>
      </x:c>
      <x:c r="I168" s="11" t="str">
        <x:v>N/A (Bypassed)</x:v>
      </x:c>
      <x:c r="J168" s="11" t="str">
        <x:v>N/A (Bypassed)</x:v>
      </x:c>
      <x:c r="K168" s="11" t="n">
        <x:v>2309.8556</x:v>
      </x:c>
      <x:c r="L168" s="11" t="n">
        <x:v>48.6623</x:v>
      </x:c>
      <x:c r="M168" s="11" t="n">
        <x:v>41.3052</x:v>
      </x:c>
      <x:c r="N168" s="1" t="str">
        <x:v>6898be28591c4e1abe73f83f56b307e4</x:v>
      </x:c>
      <x:c r="O168" s="1" t="str">
        <x:v>Admin Office - 1</x:v>
      </x:c>
      <x:c r="P168" s="1" t="n">
        <x:v>1</x:v>
      </x:c>
      <x:c r="Q168" s="1" t="str">
        <x:v>standard_mode_logs</x:v>
      </x:c>
      <x:c r="R168" s="1" t="n">
        <x:v>83</x:v>
      </x:c>
      <x:c r="S168" s="1" t="str">
        <x:v>Successful entry</x:v>
      </x:c>
      <x:c r="T168" s="1" t="n">
        <x:v>1</x:v>
      </x:c>
      <x:c r="U168" s="5" t="str"/>
      <x:c r="V168" s="1" t="n">
        <x:v>1</x:v>
      </x:c>
      <x:c r="W168" s="1" t="n">
        <x:v>1</x:v>
      </x:c>
      <x:c r="X168" s="1" t="str">
        <x:v>GRANTED</x:v>
      </x:c>
      <x:c r="Y168" s="1" t="n">
        <x:f>IF(V168=1,IF(E168="GRANTED",IF(X168="GRANTED",1,0),IF(X168="DENIED",1,0)),0)</x:f>
        <x:v>1</x:v>
      </x:c>
    </x:row>
    <x:row r="169" ht="23" customHeight="1">
      <x:c r="A169" s="9" t="n">
        <x:v>46246.485178194445</x:v>
      </x:c>
      <x:c r="B169" s="1" t="str">
        <x:v>[TEMP] Pedro Reyes</x:v>
      </x:c>
      <x:c r="C169" s="1" t="str">
        <x:v>Entry</x:v>
      </x:c>
      <x:c r="D169" s="1" t="str">
        <x:v>Standard</x:v>
      </x:c>
      <x:c r="E169" s="1" t="str">
        <x:v>GRANTED</x:v>
      </x:c>
      <x:c r="F169" s="11" t="n">
        <x:v>11.4218</x:v>
      </x:c>
      <x:c r="G169" s="11" t="n">
        <x:v>2089.8666</x:v>
      </x:c>
      <x:c r="H169" s="11" t="n">
        <x:v>39.1333</x:v>
      </x:c>
      <x:c r="I169" s="11" t="str">
        <x:v>N/A (Bypassed)</x:v>
      </x:c>
      <x:c r="J169" s="11" t="str">
        <x:v>N/A (Bypassed)</x:v>
      </x:c>
      <x:c r="K169" s="11" t="n">
        <x:v>2089.8666</x:v>
      </x:c>
      <x:c r="L169" s="11" t="n">
        <x:v>50.5551</x:v>
      </x:c>
      <x:c r="M169" s="11" t="n">
        <x:v>43.9332</x:v>
      </x:c>
      <x:c r="N169" s="1" t="str">
        <x:v>6898be28591c4e1abe73f83f56b307e4</x:v>
      </x:c>
      <x:c r="O169" s="1" t="str">
        <x:v>Admin Office - 1</x:v>
      </x:c>
      <x:c r="P169" s="1" t="n">
        <x:v>1</x:v>
      </x:c>
      <x:c r="Q169" s="1" t="str">
        <x:v>standard_mode_logs</x:v>
      </x:c>
      <x:c r="R169" s="1" t="n">
        <x:v>84</x:v>
      </x:c>
      <x:c r="S169" s="1" t="str">
        <x:v>Successful entry</x:v>
      </x:c>
      <x:c r="T169" s="1" t="n">
        <x:v>1</x:v>
      </x:c>
      <x:c r="U169" s="5" t="str"/>
      <x:c r="V169" s="1" t="n">
        <x:v>1</x:v>
      </x:c>
      <x:c r="W169" s="1" t="n">
        <x:v>1</x:v>
      </x:c>
      <x:c r="X169" s="1" t="str">
        <x:v>GRANTED</x:v>
      </x:c>
      <x:c r="Y169" s="1" t="n">
        <x:f>IF(V169=1,IF(E169="GRANTED",IF(X169="GRANTED",1,0),IF(X169="DENIED",1,0)),0)</x:f>
        <x:v>1</x:v>
      </x:c>
    </x:row>
    <x:row r="170" ht="23" customHeight="1">
      <x:c r="A170" s="9" t="n">
        <x:v>46246.48508983797</x:v>
      </x:c>
      <x:c r="B170" s="1" t="str">
        <x:v>[TEMP] Jose Santos</x:v>
      </x:c>
      <x:c r="C170" s="1" t="str">
        <x:v>Entry</x:v>
      </x:c>
      <x:c r="D170" s="1" t="str">
        <x:v>Standard</x:v>
      </x:c>
      <x:c r="E170" s="1" t="str">
        <x:v>GRANTED</x:v>
      </x:c>
      <x:c r="F170" s="11" t="n">
        <x:v>12.1463</x:v>
      </x:c>
      <x:c r="G170" s="11" t="n">
        <x:v>5499.5316</x:v>
      </x:c>
      <x:c r="H170" s="11" t="n">
        <x:v>38.4418</x:v>
      </x:c>
      <x:c r="I170" s="11" t="str">
        <x:v>N/A (Bypassed)</x:v>
      </x:c>
      <x:c r="J170" s="11" t="str">
        <x:v>N/A (Bypassed)</x:v>
      </x:c>
      <x:c r="K170" s="11" t="n">
        <x:v>5499.5316</x:v>
      </x:c>
      <x:c r="L170" s="11" t="n">
        <x:v>50.5881</x:v>
      </x:c>
      <x:c r="M170" s="11" t="n">
        <x:v>43.4212</x:v>
      </x:c>
      <x:c r="N170" s="1" t="str">
        <x:v>6898be28591c4e1abe73f83f56b307e4</x:v>
      </x:c>
      <x:c r="O170" s="1" t="str">
        <x:v>Admin Office - 1</x:v>
      </x:c>
      <x:c r="P170" s="1" t="n">
        <x:v>1</x:v>
      </x:c>
      <x:c r="Q170" s="1" t="str">
        <x:v>standard_mode_logs</x:v>
      </x:c>
      <x:c r="R170" s="1" t="n">
        <x:v>85</x:v>
      </x:c>
      <x:c r="S170" s="1" t="str">
        <x:v>Successful entry</x:v>
      </x:c>
      <x:c r="T170" s="1" t="n">
        <x:v>1</x:v>
      </x:c>
      <x:c r="U170" s="5" t="str"/>
      <x:c r="V170" s="1" t="n">
        <x:v>1</x:v>
      </x:c>
      <x:c r="W170" s="1" t="n">
        <x:v>1</x:v>
      </x:c>
      <x:c r="X170" s="1" t="str">
        <x:v>GRANTED</x:v>
      </x:c>
      <x:c r="Y170" s="1" t="n">
        <x:f>IF(V170=1,IF(E170="GRANTED",IF(X170="GRANTED",1,0),IF(X170="DENIED",1,0)),0)</x:f>
        <x:v>1</x:v>
      </x:c>
    </x:row>
    <x:row r="171" ht="23" customHeight="1">
      <x:c r="A171" s="9" t="n">
        <x:v>46246.48494283565</x:v>
      </x:c>
      <x:c r="B171" s="1" t="str">
        <x:v>[TEMP] Juan Dela Cruz</x:v>
      </x:c>
      <x:c r="C171" s="1" t="str">
        <x:v>Entry</x:v>
      </x:c>
      <x:c r="D171" s="1" t="str">
        <x:v>Standard</x:v>
      </x:c>
      <x:c r="E171" s="1" t="str">
        <x:v>GRANTED</x:v>
      </x:c>
      <x:c r="F171" s="11" t="n">
        <x:v>15.0689</x:v>
      </x:c>
      <x:c r="G171" s="11" t="n">
        <x:v>1814.9814</x:v>
      </x:c>
      <x:c r="H171" s="11" t="n">
        <x:v>37.7945</x:v>
      </x:c>
      <x:c r="I171" s="11" t="str">
        <x:v>N/A (Bypassed)</x:v>
      </x:c>
      <x:c r="J171" s="11" t="str">
        <x:v>N/A (Bypassed)</x:v>
      </x:c>
      <x:c r="K171" s="11" t="n">
        <x:v>1814.9814</x:v>
      </x:c>
      <x:c r="L171" s="11" t="n">
        <x:v>52.8634</x:v>
      </x:c>
      <x:c r="M171" s="11" t="n">
        <x:v>38.4465</x:v>
      </x:c>
      <x:c r="N171" s="1" t="str">
        <x:v>6898be28591c4e1abe73f83f56b307e4</x:v>
      </x:c>
      <x:c r="O171" s="1" t="str">
        <x:v>Admin Office - 1</x:v>
      </x:c>
      <x:c r="P171" s="1" t="n">
        <x:v>1</x:v>
      </x:c>
      <x:c r="Q171" s="1" t="str">
        <x:v>standard_mode_logs</x:v>
      </x:c>
      <x:c r="R171" s="1" t="n">
        <x:v>86</x:v>
      </x:c>
      <x:c r="S171" s="1" t="str">
        <x:v>Successful entry</x:v>
      </x:c>
      <x:c r="T171" s="1" t="n">
        <x:v>1</x:v>
      </x:c>
      <x:c r="U171" s="5" t="str"/>
      <x:c r="V171" s="1" t="n">
        <x:v>1</x:v>
      </x:c>
      <x:c r="W171" s="1" t="n">
        <x:v>1</x:v>
      </x:c>
      <x:c r="X171" s="1" t="str">
        <x:v>GRANTED</x:v>
      </x:c>
      <x:c r="Y171" s="1" t="n">
        <x:f>IF(V171=1,IF(E171="GRANTED",IF(X171="GRANTED",1,0),IF(X171="DENIED",1,0)),0)</x:f>
        <x:v>1</x:v>
      </x:c>
    </x:row>
    <x:row r="172" ht="23" customHeight="1">
      <x:c r="A172" s="12" t="n">
        <x:v>46246.484654189815</x:v>
      </x:c>
      <x:c r="B172" s="13" t="str">
        <x:v>[TEMP] Juan Dela Cruz</x:v>
      </x:c>
      <x:c r="C172" s="13" t="str">
        <x:v>Entry</x:v>
      </x:c>
      <x:c r="D172" s="13" t="str">
        <x:v>Standard</x:v>
      </x:c>
      <x:c r="E172" s="13" t="str">
        <x:v>DENIED [PIN_LOCKED]</x:v>
      </x:c>
      <x:c r="F172" s="14" t="n">
        <x:v>8.5063</x:v>
      </x:c>
      <x:c r="G172" s="14" t="str">
        <x:v>N/A (Bypassed)</x:v>
      </x:c>
      <x:c r="H172" s="14" t="str">
        <x:v>N/A (Bypassed)</x:v>
      </x:c>
      <x:c r="I172" s="14" t="str">
        <x:v>N/A (Bypassed)</x:v>
      </x:c>
      <x:c r="J172" s="14" t="str">
        <x:v>N/A (Bypassed)</x:v>
      </x:c>
      <x:c r="K172" s="14" t="n">
        <x:v>2310.1872</x:v>
      </x:c>
      <x:c r="L172" s="14" t="n">
        <x:v>51.3961</x:v>
      </x:c>
      <x:c r="M172" s="14" t="n">
        <x:v>40.9333</x:v>
      </x:c>
      <x:c r="N172" s="13" t="str">
        <x:v>6898be28591c4e1abe73f83f56b307e4</x:v>
      </x:c>
      <x:c r="O172" s="13" t="str">
        <x:v>Admin Office - 1</x:v>
      </x:c>
      <x:c r="P172" s="13" t="n">
        <x:v>1</x:v>
      </x:c>
      <x:c r="Q172" s="13" t="str">
        <x:v>standard_mode_logs</x:v>
      </x:c>
      <x:c r="R172" s="13" t="n">
        <x:v>87</x:v>
      </x:c>
      <x:c r="S172" s="13" t="str">
        <x:v>Denied record</x:v>
      </x:c>
      <x:c r="T172" s="13"/>
      <x:c r="U172" s="15" t="str">
        <x:v>PIN_LOCKED: totals include PIN time hidden as N/A in original component fields.</x:v>
      </x:c>
      <x:c r="V172" s="1" t="n">
        <x:v>1</x:v>
      </x:c>
      <x:c r="W172" s="1" t="n">
        <x:v>1</x:v>
      </x:c>
      <x:c r="X172" s="1" t="str">
        <x:v>DENIED</x:v>
      </x:c>
      <x:c r="Y172" s="1" t="n">
        <x:f>IF(V172=1,IF(E172="GRANTED",IF(X172="GRANTED",1,0),IF(X172="DENIED",1,0)),0)</x:f>
        <x:v>1</x:v>
      </x:c>
    </x:row>
    <x:row r="173" ht="23" customHeight="1">
      <x:c r="A173" s="12" t="n">
        <x:v>46246.484376458335</x:v>
      </x:c>
      <x:c r="B173" s="13" t="str">
        <x:v>[TEMP] Juan Dela Cruz</x:v>
      </x:c>
      <x:c r="C173" s="13" t="str">
        <x:v>Entry</x:v>
      </x:c>
      <x:c r="D173" s="13" t="str">
        <x:v>Standard</x:v>
      </x:c>
      <x:c r="E173" s="13" t="str">
        <x:v>DENIED [PIN_FAILURE]</x:v>
      </x:c>
      <x:c r="F173" s="14" t="n">
        <x:v>9.8906</x:v>
      </x:c>
      <x:c r="G173" s="14" t="n">
        <x:v>2915.0293</x:v>
      </x:c>
      <x:c r="H173" s="14" t="n">
        <x:v>38.6538</x:v>
      </x:c>
      <x:c r="I173" s="14" t="str">
        <x:v>N/A (Bypassed)</x:v>
      </x:c>
      <x:c r="J173" s="14" t="str">
        <x:v>N/A (Bypassed)</x:v>
      </x:c>
      <x:c r="K173" s="14" t="n">
        <x:v>2915.0293</x:v>
      </x:c>
      <x:c r="L173" s="14" t="n">
        <x:v>48.5444</x:v>
      </x:c>
      <x:c r="M173" s="14" t="n">
        <x:v>89.1859</x:v>
      </x:c>
      <x:c r="N173" s="13" t="str">
        <x:v>6898be28591c4e1abe73f83f56b307e4</x:v>
      </x:c>
      <x:c r="O173" s="13" t="str">
        <x:v>Admin Office - 1</x:v>
      </x:c>
      <x:c r="P173" s="13" t="n">
        <x:v>1</x:v>
      </x:c>
      <x:c r="Q173" s="13" t="str">
        <x:v>standard_mode_logs</x:v>
      </x:c>
      <x:c r="R173" s="13" t="n">
        <x:v>88</x:v>
      </x:c>
      <x:c r="S173" s="13" t="str">
        <x:v>Denied record</x:v>
      </x:c>
      <x:c r="T173" s="13"/>
      <x:c r="U173" s="15" t="str"/>
      <x:c r="V173" s="1" t="n">
        <x:v>1</x:v>
      </x:c>
      <x:c r="W173" s="1" t="n">
        <x:v>1</x:v>
      </x:c>
      <x:c r="X173" s="1" t="str">
        <x:v>DENIED</x:v>
      </x:c>
      <x:c r="Y173" s="1" t="n">
        <x:f>IF(V173=1,IF(E173="GRANTED",IF(X173="GRANTED",1,0),IF(X173="DENIED",1,0)),0)</x:f>
        <x:v>1</x:v>
      </x:c>
    </x:row>
    <x:row r="174" ht="23" customHeight="1">
      <x:c r="A174" s="12" t="n">
        <x:v>46246.48428225695</x:v>
      </x:c>
      <x:c r="B174" s="13" t="str">
        <x:v>[TEMP] Juan Dela Cruz</x:v>
      </x:c>
      <x:c r="C174" s="13" t="str">
        <x:v>Entry</x:v>
      </x:c>
      <x:c r="D174" s="13" t="str">
        <x:v>Standard</x:v>
      </x:c>
      <x:c r="E174" s="13" t="str">
        <x:v>DENIED [PIN_FAILURE]</x:v>
      </x:c>
      <x:c r="F174" s="14" t="n">
        <x:v>9.8906</x:v>
      </x:c>
      <x:c r="G174" s="14" t="n">
        <x:v>2802.6174</x:v>
      </x:c>
      <x:c r="H174" s="14" t="n">
        <x:v>48.185</x:v>
      </x:c>
      <x:c r="I174" s="14" t="str">
        <x:v>N/A (Bypassed)</x:v>
      </x:c>
      <x:c r="J174" s="14" t="str">
        <x:v>N/A (Bypassed)</x:v>
      </x:c>
      <x:c r="K174" s="14" t="n">
        <x:v>2802.6174</x:v>
      </x:c>
      <x:c r="L174" s="14" t="n">
        <x:v>58.0756</x:v>
      </x:c>
      <x:c r="M174" s="14" t="n">
        <x:v>50.5509</x:v>
      </x:c>
      <x:c r="N174" s="13" t="str">
        <x:v>6898be28591c4e1abe73f83f56b307e4</x:v>
      </x:c>
      <x:c r="O174" s="13" t="str">
        <x:v>Admin Office - 1</x:v>
      </x:c>
      <x:c r="P174" s="13" t="n">
        <x:v>1</x:v>
      </x:c>
      <x:c r="Q174" s="13" t="str">
        <x:v>standard_mode_logs</x:v>
      </x:c>
      <x:c r="R174" s="13" t="n">
        <x:v>89</x:v>
      </x:c>
      <x:c r="S174" s="13" t="str">
        <x:v>Denied record</x:v>
      </x:c>
      <x:c r="T174" s="13"/>
      <x:c r="U174" s="15" t="str"/>
      <x:c r="V174" s="1" t="n">
        <x:v>1</x:v>
      </x:c>
      <x:c r="W174" s="1" t="n">
        <x:v>1</x:v>
      </x:c>
      <x:c r="X174" s="1" t="str">
        <x:v>DENIED</x:v>
      </x:c>
      <x:c r="Y174" s="1" t="n">
        <x:f>IF(V174=1,IF(E174="GRANTED",IF(X174="GRANTED",1,0),IF(X174="DENIED",1,0)),0)</x:f>
        <x:v>1</x:v>
      </x:c>
    </x:row>
    <x:row r="175" ht="23" customHeight="1">
      <x:c r="A175" s="9" t="n">
        <x:v>46246.49700908565</x:v>
      </x:c>
      <x:c r="B175" s="1" t="str">
        <x:v>Pedro Penduko</x:v>
      </x:c>
      <x:c r="C175" s="1" t="str">
        <x:v>Exit</x:v>
      </x:c>
      <x:c r="D175" s="1" t="str">
        <x:v>HighSecurity</x:v>
      </x:c>
      <x:c r="E175" s="1" t="str">
        <x:v>GRANTED</x:v>
      </x:c>
      <x:c r="F175" s="11" t="n">
        <x:v>11.5209</x:v>
      </x:c>
      <x:c r="G175" s="11" t="str">
        <x:v>N/A (Bypassed)</x:v>
      </x:c>
      <x:c r="H175" s="11" t="str">
        <x:v>N/A (Bypassed)</x:v>
      </x:c>
      <x:c r="I175" s="11" t="str">
        <x:v>N/A (Bypassed)</x:v>
      </x:c>
      <x:c r="J175" s="11" t="str">
        <x:v>N/A (Bypassed)</x:v>
      </x:c>
      <x:c r="K175" s="11" t="str">
        <x:v>N/A</x:v>
      </x:c>
      <x:c r="L175" s="11" t="n">
        <x:v>11.5209</x:v>
      </x:c>
      <x:c r="M175" s="11" t="n">
        <x:v>2.9597</x:v>
      </x:c>
      <x:c r="N175" s="1" t="str">
        <x:v>6898be28591c4e1abe73f83f56b307e4</x:v>
      </x:c>
      <x:c r="O175" s="1" t="str">
        <x:v>Admin Office - 1</x:v>
      </x:c>
      <x:c r="P175" s="1" t="n">
        <x:v>1</x:v>
      </x:c>
      <x:c r="Q175" s="1" t="str">
        <x:v>high_security_mode_logs</x:v>
      </x:c>
      <x:c r="R175" s="1" t="n">
        <x:v>2</x:v>
      </x:c>
      <x:c r="S175" s="1" t="str">
        <x:v>Reset exit</x:v>
      </x:c>
      <x:c r="T175" s="1"/>
      <x:c r="U175" s="5" t="str"/>
      <x:c r="V175" s="1" t="n">
        <x:v>0</x:v>
      </x:c>
      <x:c r="W175" s="1" t="n">
        <x:v>0</x:v>
      </x:c>
      <x:c r="X175" s="1" t="str">
        <x:v>Not applicable</x:v>
      </x:c>
      <x:c r="Y175" s="1" t="n">
        <x:f>IF(V175=1,IF(E175="GRANTED",IF(X175="GRANTED",1,0),IF(X175="DENIED",1,0)),0)</x:f>
        <x:v>0</x:v>
      </x:c>
    </x:row>
    <x:row r="176" ht="23" customHeight="1">
      <x:c r="A176" s="9" t="n">
        <x:v>46246.496983819445</x:v>
      </x:c>
      <x:c r="B176" s="1" t="str">
        <x:v>Juan Tamad</x:v>
      </x:c>
      <x:c r="C176" s="1" t="str">
        <x:v>Exit</x:v>
      </x:c>
      <x:c r="D176" s="1" t="str">
        <x:v>HighSecurity</x:v>
      </x:c>
      <x:c r="E176" s="1" t="str">
        <x:v>GRANTED</x:v>
      </x:c>
      <x:c r="F176" s="11" t="n">
        <x:v>10.4716</x:v>
      </x:c>
      <x:c r="G176" s="11" t="str">
        <x:v>N/A (Bypassed)</x:v>
      </x:c>
      <x:c r="H176" s="11" t="str">
        <x:v>N/A (Bypassed)</x:v>
      </x:c>
      <x:c r="I176" s="11" t="str">
        <x:v>N/A (Bypassed)</x:v>
      </x:c>
      <x:c r="J176" s="11" t="str">
        <x:v>N/A (Bypassed)</x:v>
      </x:c>
      <x:c r="K176" s="11" t="str">
        <x:v>N/A</x:v>
      </x:c>
      <x:c r="L176" s="11" t="n">
        <x:v>10.4716</x:v>
      </x:c>
      <x:c r="M176" s="11" t="n">
        <x:v>2.7614</x:v>
      </x:c>
      <x:c r="N176" s="1" t="str">
        <x:v>6898be28591c4e1abe73f83f56b307e4</x:v>
      </x:c>
      <x:c r="O176" s="1" t="str">
        <x:v>Admin Office - 1</x:v>
      </x:c>
      <x:c r="P176" s="1" t="n">
        <x:v>1</x:v>
      </x:c>
      <x:c r="Q176" s="1" t="str">
        <x:v>high_security_mode_logs</x:v>
      </x:c>
      <x:c r="R176" s="1" t="n">
        <x:v>3</x:v>
      </x:c>
      <x:c r="S176" s="1" t="str">
        <x:v>Reset exit</x:v>
      </x:c>
      <x:c r="T176" s="1"/>
      <x:c r="U176" s="5" t="str"/>
      <x:c r="V176" s="1" t="n">
        <x:v>0</x:v>
      </x:c>
      <x:c r="W176" s="1" t="n">
        <x:v>0</x:v>
      </x:c>
      <x:c r="X176" s="1" t="str">
        <x:v>Not applicable</x:v>
      </x:c>
      <x:c r="Y176" s="1" t="n">
        <x:f>IF(V176=1,IF(E176="GRANTED",IF(X176="GRANTED",1,0),IF(X176="DENIED",1,0)),0)</x:f>
        <x:v>0</x:v>
      </x:c>
    </x:row>
    <x:row r="177" ht="23" customHeight="1">
      <x:c r="A177" s="9" t="n">
        <x:v>46246.49696408564</x:v>
      </x:c>
      <x:c r="B177" s="1" t="str">
        <x:v>Luningning Santos</x:v>
      </x:c>
      <x:c r="C177" s="1" t="str">
        <x:v>Exit</x:v>
      </x:c>
      <x:c r="D177" s="1" t="str">
        <x:v>HighSecurity</x:v>
      </x:c>
      <x:c r="E177" s="1" t="str">
        <x:v>GRANTED</x:v>
      </x:c>
      <x:c r="F177" s="11" t="n">
        <x:v>12.7384</x:v>
      </x:c>
      <x:c r="G177" s="11" t="str">
        <x:v>N/A (Bypassed)</x:v>
      </x:c>
      <x:c r="H177" s="11" t="str">
        <x:v>N/A (Bypassed)</x:v>
      </x:c>
      <x:c r="I177" s="11" t="str">
        <x:v>N/A (Bypassed)</x:v>
      </x:c>
      <x:c r="J177" s="11" t="str">
        <x:v>N/A (Bypassed)</x:v>
      </x:c>
      <x:c r="K177" s="11" t="str">
        <x:v>N/A</x:v>
      </x:c>
      <x:c r="L177" s="11" t="n">
        <x:v>12.7384</x:v>
      </x:c>
      <x:c r="M177" s="11" t="n">
        <x:v>4.7473</x:v>
      </x:c>
      <x:c r="N177" s="1" t="str">
        <x:v>6898be28591c4e1abe73f83f56b307e4</x:v>
      </x:c>
      <x:c r="O177" s="1" t="str">
        <x:v>Admin Office - 1</x:v>
      </x:c>
      <x:c r="P177" s="1" t="n">
        <x:v>1</x:v>
      </x:c>
      <x:c r="Q177" s="1" t="str">
        <x:v>high_security_mode_logs</x:v>
      </x:c>
      <x:c r="R177" s="1" t="n">
        <x:v>4</x:v>
      </x:c>
      <x:c r="S177" s="1" t="str">
        <x:v>Reset exit</x:v>
      </x:c>
      <x:c r="T177" s="1"/>
      <x:c r="U177" s="5" t="str"/>
      <x:c r="V177" s="1" t="n">
        <x:v>0</x:v>
      </x:c>
      <x:c r="W177" s="1" t="n">
        <x:v>0</x:v>
      </x:c>
      <x:c r="X177" s="1" t="str">
        <x:v>Not applicable</x:v>
      </x:c>
      <x:c r="Y177" s="1" t="n">
        <x:f>IF(V177=1,IF(E177="GRANTED",IF(X177="GRANTED",1,0),IF(X177="DENIED",1,0)),0)</x:f>
        <x:v>0</x:v>
      </x:c>
    </x:row>
    <x:row r="178" ht="23" customHeight="1">
      <x:c r="A178" s="9" t="n">
        <x:v>46246.49694496528</x:v>
      </x:c>
      <x:c r="B178" s="1" t="str">
        <x:v>Teresita Gonzales</x:v>
      </x:c>
      <x:c r="C178" s="1" t="str">
        <x:v>Exit</x:v>
      </x:c>
      <x:c r="D178" s="1" t="str">
        <x:v>HighSecurity</x:v>
      </x:c>
      <x:c r="E178" s="1" t="str">
        <x:v>GRANTED</x:v>
      </x:c>
      <x:c r="F178" s="11" t="n">
        <x:v>11.8841</x:v>
      </x:c>
      <x:c r="G178" s="11" t="str">
        <x:v>N/A (Bypassed)</x:v>
      </x:c>
      <x:c r="H178" s="11" t="str">
        <x:v>N/A (Bypassed)</x:v>
      </x:c>
      <x:c r="I178" s="11" t="str">
        <x:v>N/A (Bypassed)</x:v>
      </x:c>
      <x:c r="J178" s="11" t="str">
        <x:v>N/A (Bypassed)</x:v>
      </x:c>
      <x:c r="K178" s="11" t="str">
        <x:v>N/A</x:v>
      </x:c>
      <x:c r="L178" s="11" t="n">
        <x:v>11.8841</x:v>
      </x:c>
      <x:c r="M178" s="11" t="n">
        <x:v>4.4812</x:v>
      </x:c>
      <x:c r="N178" s="1" t="str">
        <x:v>6898be28591c4e1abe73f83f56b307e4</x:v>
      </x:c>
      <x:c r="O178" s="1" t="str">
        <x:v>Admin Office - 1</x:v>
      </x:c>
      <x:c r="P178" s="1" t="n">
        <x:v>1</x:v>
      </x:c>
      <x:c r="Q178" s="1" t="str">
        <x:v>high_security_mode_logs</x:v>
      </x:c>
      <x:c r="R178" s="1" t="n">
        <x:v>5</x:v>
      </x:c>
      <x:c r="S178" s="1" t="str">
        <x:v>Reset exit</x:v>
      </x:c>
      <x:c r="T178" s="1"/>
      <x:c r="U178" s="5" t="str"/>
      <x:c r="V178" s="1" t="n">
        <x:v>0</x:v>
      </x:c>
      <x:c r="W178" s="1" t="n">
        <x:v>0</x:v>
      </x:c>
      <x:c r="X178" s="1" t="str">
        <x:v>Not applicable</x:v>
      </x:c>
      <x:c r="Y178" s="1" t="n">
        <x:f>IF(V178=1,IF(E178="GRANTED",IF(X178="GRANTED",1,0),IF(X178="DENIED",1,0)),0)</x:f>
        <x:v>0</x:v>
      </x:c>
    </x:row>
    <x:row r="179" ht="23" customHeight="1">
      <x:c r="A179" s="9" t="n">
        <x:v>46246.49692467593</x:v>
      </x:c>
      <x:c r="B179" s="1" t="str">
        <x:v>Ana Delos Reyes</x:v>
      </x:c>
      <x:c r="C179" s="1" t="str">
        <x:v>Exit</x:v>
      </x:c>
      <x:c r="D179" s="1" t="str">
        <x:v>HighSecurity</x:v>
      </x:c>
      <x:c r="E179" s="1" t="str">
        <x:v>GRANTED</x:v>
      </x:c>
      <x:c r="F179" s="11" t="n">
        <x:v>11.1127</x:v>
      </x:c>
      <x:c r="G179" s="11" t="str">
        <x:v>N/A (Bypassed)</x:v>
      </x:c>
      <x:c r="H179" s="11" t="str">
        <x:v>N/A (Bypassed)</x:v>
      </x:c>
      <x:c r="I179" s="11" t="str">
        <x:v>N/A (Bypassed)</x:v>
      </x:c>
      <x:c r="J179" s="11" t="str">
        <x:v>N/A (Bypassed)</x:v>
      </x:c>
      <x:c r="K179" s="11" t="str">
        <x:v>N/A</x:v>
      </x:c>
      <x:c r="L179" s="11" t="n">
        <x:v>11.1127</x:v>
      </x:c>
      <x:c r="M179" s="11" t="n">
        <x:v>3.0075</x:v>
      </x:c>
      <x:c r="N179" s="1" t="str">
        <x:v>6898be28591c4e1abe73f83f56b307e4</x:v>
      </x:c>
      <x:c r="O179" s="1" t="str">
        <x:v>Admin Office - 1</x:v>
      </x:c>
      <x:c r="P179" s="1" t="n">
        <x:v>1</x:v>
      </x:c>
      <x:c r="Q179" s="1" t="str">
        <x:v>high_security_mode_logs</x:v>
      </x:c>
      <x:c r="R179" s="1" t="n">
        <x:v>6</x:v>
      </x:c>
      <x:c r="S179" s="1" t="str">
        <x:v>Reset exit</x:v>
      </x:c>
      <x:c r="T179" s="1"/>
      <x:c r="U179" s="5" t="str"/>
      <x:c r="V179" s="1" t="n">
        <x:v>0</x:v>
      </x:c>
      <x:c r="W179" s="1" t="n">
        <x:v>0</x:v>
      </x:c>
      <x:c r="X179" s="1" t="str">
        <x:v>Not applicable</x:v>
      </x:c>
      <x:c r="Y179" s="1" t="n">
        <x:f>IF(V179=1,IF(E179="GRANTED",IF(X179="GRANTED",1,0),IF(X179="DENIED",1,0)),0)</x:f>
        <x:v>0</x:v>
      </x:c>
    </x:row>
    <x:row r="180" ht="23" customHeight="1">
      <x:c r="A180" s="9" t="n">
        <x:v>46246.49690104167</x:v>
      </x:c>
      <x:c r="B180" s="1" t="str">
        <x:v>Maria Santos</x:v>
      </x:c>
      <x:c r="C180" s="1" t="str">
        <x:v>Exit</x:v>
      </x:c>
      <x:c r="D180" s="1" t="str">
        <x:v>HighSecurity</x:v>
      </x:c>
      <x:c r="E180" s="1" t="str">
        <x:v>GRANTED</x:v>
      </x:c>
      <x:c r="F180" s="11" t="n">
        <x:v>7.7238</x:v>
      </x:c>
      <x:c r="G180" s="11" t="str">
        <x:v>N/A (Bypassed)</x:v>
      </x:c>
      <x:c r="H180" s="11" t="str">
        <x:v>N/A (Bypassed)</x:v>
      </x:c>
      <x:c r="I180" s="11" t="str">
        <x:v>N/A (Bypassed)</x:v>
      </x:c>
      <x:c r="J180" s="11" t="str">
        <x:v>N/A (Bypassed)</x:v>
      </x:c>
      <x:c r="K180" s="11" t="str">
        <x:v>N/A</x:v>
      </x:c>
      <x:c r="L180" s="11" t="n">
        <x:v>7.7238</x:v>
      </x:c>
      <x:c r="M180" s="11" t="n">
        <x:v>0.664</x:v>
      </x:c>
      <x:c r="N180" s="1" t="str">
        <x:v>6898be28591c4e1abe73f83f56b307e4</x:v>
      </x:c>
      <x:c r="O180" s="1" t="str">
        <x:v>Admin Office - 1</x:v>
      </x:c>
      <x:c r="P180" s="1" t="n">
        <x:v>1</x:v>
      </x:c>
      <x:c r="Q180" s="1" t="str">
        <x:v>high_security_mode_logs</x:v>
      </x:c>
      <x:c r="R180" s="1" t="n">
        <x:v>7</x:v>
      </x:c>
      <x:c r="S180" s="1" t="str">
        <x:v>Reset exit</x:v>
      </x:c>
      <x:c r="T180" s="1"/>
      <x:c r="U180" s="5" t="str"/>
      <x:c r="V180" s="1" t="n">
        <x:v>0</x:v>
      </x:c>
      <x:c r="W180" s="1" t="n">
        <x:v>0</x:v>
      </x:c>
      <x:c r="X180" s="1" t="str">
        <x:v>Not applicable</x:v>
      </x:c>
      <x:c r="Y180" s="1" t="n">
        <x:f>IF(V180=1,IF(E180="GRANTED",IF(X180="GRANTED",1,0),IF(X180="DENIED",1,0)),0)</x:f>
        <x:v>0</x:v>
      </x:c>
    </x:row>
    <x:row r="181" ht="23" customHeight="1">
      <x:c r="A181" s="9" t="n">
        <x:v>46246.49688046296</x:v>
      </x:c>
      <x:c r="B181" s="1" t="str">
        <x:v>Maria Clara</x:v>
      </x:c>
      <x:c r="C181" s="1" t="str">
        <x:v>Exit</x:v>
      </x:c>
      <x:c r="D181" s="1" t="str">
        <x:v>HighSecurity</x:v>
      </x:c>
      <x:c r="E181" s="1" t="str">
        <x:v>GRANTED</x:v>
      </x:c>
      <x:c r="F181" s="11" t="n">
        <x:v>45.8387</x:v>
      </x:c>
      <x:c r="G181" s="11" t="str">
        <x:v>N/A (Bypassed)</x:v>
      </x:c>
      <x:c r="H181" s="11" t="str">
        <x:v>N/A (Bypassed)</x:v>
      </x:c>
      <x:c r="I181" s="11" t="str">
        <x:v>N/A (Bypassed)</x:v>
      </x:c>
      <x:c r="J181" s="11" t="str">
        <x:v>N/A (Bypassed)</x:v>
      </x:c>
      <x:c r="K181" s="11" t="str">
        <x:v>N/A</x:v>
      </x:c>
      <x:c r="L181" s="11" t="n">
        <x:v>45.8387</x:v>
      </x:c>
      <x:c r="M181" s="11" t="n">
        <x:v>38.1919</x:v>
      </x:c>
      <x:c r="N181" s="1" t="str">
        <x:v>6898be28591c4e1abe73f83f56b307e4</x:v>
      </x:c>
      <x:c r="O181" s="1" t="str">
        <x:v>Admin Office - 1</x:v>
      </x:c>
      <x:c r="P181" s="1" t="n">
        <x:v>1</x:v>
      </x:c>
      <x:c r="Q181" s="1" t="str">
        <x:v>high_security_mode_logs</x:v>
      </x:c>
      <x:c r="R181" s="1" t="n">
        <x:v>8</x:v>
      </x:c>
      <x:c r="S181" s="1" t="str">
        <x:v>Reset exit</x:v>
      </x:c>
      <x:c r="T181" s="1"/>
      <x:c r="U181" s="5" t="str"/>
      <x:c r="V181" s="1" t="n">
        <x:v>0</x:v>
      </x:c>
      <x:c r="W181" s="1" t="n">
        <x:v>0</x:v>
      </x:c>
      <x:c r="X181" s="1" t="str">
        <x:v>Not applicable</x:v>
      </x:c>
      <x:c r="Y181" s="1" t="n">
        <x:f>IF(V181=1,IF(E181="GRANTED",IF(X181="GRANTED",1,0),IF(X181="DENIED",1,0)),0)</x:f>
        <x:v>0</x:v>
      </x:c>
    </x:row>
    <x:row r="182" ht="23" customHeight="1">
      <x:c r="A182" s="9" t="n">
        <x:v>46246.49686054398</x:v>
      </x:c>
      <x:c r="B182" s="1" t="str">
        <x:v>Juana Dela Cruz</x:v>
      </x:c>
      <x:c r="C182" s="1" t="str">
        <x:v>Exit</x:v>
      </x:c>
      <x:c r="D182" s="1" t="str">
        <x:v>HighSecurity</x:v>
      </x:c>
      <x:c r="E182" s="1" t="str">
        <x:v>GRANTED</x:v>
      </x:c>
      <x:c r="F182" s="11" t="n">
        <x:v>41.9534</x:v>
      </x:c>
      <x:c r="G182" s="11" t="str">
        <x:v>N/A (Bypassed)</x:v>
      </x:c>
      <x:c r="H182" s="11" t="str">
        <x:v>N/A (Bypassed)</x:v>
      </x:c>
      <x:c r="I182" s="11" t="str">
        <x:v>N/A (Bypassed)</x:v>
      </x:c>
      <x:c r="J182" s="11" t="str">
        <x:v>N/A (Bypassed)</x:v>
      </x:c>
      <x:c r="K182" s="11" t="str">
        <x:v>N/A</x:v>
      </x:c>
      <x:c r="L182" s="11" t="n">
        <x:v>41.9534</x:v>
      </x:c>
      <x:c r="M182" s="11" t="n">
        <x:v>2.4886</x:v>
      </x:c>
      <x:c r="N182" s="1" t="str">
        <x:v>6898be28591c4e1abe73f83f56b307e4</x:v>
      </x:c>
      <x:c r="O182" s="1" t="str">
        <x:v>Admin Office - 1</x:v>
      </x:c>
      <x:c r="P182" s="1" t="n">
        <x:v>1</x:v>
      </x:c>
      <x:c r="Q182" s="1" t="str">
        <x:v>high_security_mode_logs</x:v>
      </x:c>
      <x:c r="R182" s="1" t="n">
        <x:v>9</x:v>
      </x:c>
      <x:c r="S182" s="1" t="str">
        <x:v>Reset exit</x:v>
      </x:c>
      <x:c r="T182" s="1"/>
      <x:c r="U182" s="5" t="str"/>
      <x:c r="V182" s="1" t="n">
        <x:v>0</x:v>
      </x:c>
      <x:c r="W182" s="1" t="n">
        <x:v>0</x:v>
      </x:c>
      <x:c r="X182" s="1" t="str">
        <x:v>Not applicable</x:v>
      </x:c>
      <x:c r="Y182" s="1" t="n">
        <x:f>IF(V182=1,IF(E182="GRANTED",IF(X182="GRANTED",1,0),IF(X182="DENIED",1,0)),0)</x:f>
        <x:v>0</x:v>
      </x:c>
    </x:row>
    <x:row r="183" ht="23" customHeight="1">
      <x:c r="A183" s="9" t="n">
        <x:v>46246.496841319444</x:v>
      </x:c>
      <x:c r="B183" s="1" t="str">
        <x:v>Maria Dela Cruz</x:v>
      </x:c>
      <x:c r="C183" s="1" t="str">
        <x:v>Exit</x:v>
      </x:c>
      <x:c r="D183" s="1" t="str">
        <x:v>HighSecurity</x:v>
      </x:c>
      <x:c r="E183" s="1" t="str">
        <x:v>GRANTED</x:v>
      </x:c>
      <x:c r="F183" s="11" t="n">
        <x:v>12.0023</x:v>
      </x:c>
      <x:c r="G183" s="11" t="str">
        <x:v>N/A (Bypassed)</x:v>
      </x:c>
      <x:c r="H183" s="11" t="str">
        <x:v>N/A (Bypassed)</x:v>
      </x:c>
      <x:c r="I183" s="11" t="str">
        <x:v>N/A (Bypassed)</x:v>
      </x:c>
      <x:c r="J183" s="11" t="str">
        <x:v>N/A (Bypassed)</x:v>
      </x:c>
      <x:c r="K183" s="11" t="str">
        <x:v>N/A</x:v>
      </x:c>
      <x:c r="L183" s="11" t="n">
        <x:v>12.0023</x:v>
      </x:c>
      <x:c r="M183" s="11" t="n">
        <x:v>4.1418</x:v>
      </x:c>
      <x:c r="N183" s="1" t="str">
        <x:v>6898be28591c4e1abe73f83f56b307e4</x:v>
      </x:c>
      <x:c r="O183" s="1" t="str">
        <x:v>Admin Office - 1</x:v>
      </x:c>
      <x:c r="P183" s="1" t="n">
        <x:v>1</x:v>
      </x:c>
      <x:c r="Q183" s="1" t="str">
        <x:v>high_security_mode_logs</x:v>
      </x:c>
      <x:c r="R183" s="1" t="n">
        <x:v>10</x:v>
      </x:c>
      <x:c r="S183" s="1" t="str">
        <x:v>Reset exit</x:v>
      </x:c>
      <x:c r="T183" s="1"/>
      <x:c r="U183" s="5" t="str"/>
      <x:c r="V183" s="1" t="n">
        <x:v>0</x:v>
      </x:c>
      <x:c r="W183" s="1" t="n">
        <x:v>0</x:v>
      </x:c>
      <x:c r="X183" s="1" t="str">
        <x:v>Not applicable</x:v>
      </x:c>
      <x:c r="Y183" s="1" t="n">
        <x:f>IF(V183=1,IF(E183="GRANTED",IF(X183="GRANTED",1,0),IF(X183="DENIED",1,0)),0)</x:f>
        <x:v>0</x:v>
      </x:c>
    </x:row>
    <x:row r="184" ht="23" customHeight="1">
      <x:c r="A184" s="9" t="n">
        <x:v>46246.49679829861</x:v>
      </x:c>
      <x:c r="B184" s="1" t="str">
        <x:v>Basilio Magbanua</x:v>
      </x:c>
      <x:c r="C184" s="1" t="str">
        <x:v>Exit</x:v>
      </x:c>
      <x:c r="D184" s="1" t="str">
        <x:v>HighSecurity</x:v>
      </x:c>
      <x:c r="E184" s="1" t="str">
        <x:v>GRANTED</x:v>
      </x:c>
      <x:c r="F184" s="11" t="n">
        <x:v>10.6503</x:v>
      </x:c>
      <x:c r="G184" s="11" t="str">
        <x:v>N/A (Bypassed)</x:v>
      </x:c>
      <x:c r="H184" s="11" t="str">
        <x:v>N/A (Bypassed)</x:v>
      </x:c>
      <x:c r="I184" s="11" t="str">
        <x:v>N/A (Bypassed)</x:v>
      </x:c>
      <x:c r="J184" s="11" t="str">
        <x:v>N/A (Bypassed)</x:v>
      </x:c>
      <x:c r="K184" s="11" t="str">
        <x:v>N/A</x:v>
      </x:c>
      <x:c r="L184" s="11" t="n">
        <x:v>10.6503</x:v>
      </x:c>
      <x:c r="M184" s="11" t="n">
        <x:v>3.355</x:v>
      </x:c>
      <x:c r="N184" s="1" t="str">
        <x:v>6898be28591c4e1abe73f83f56b307e4</x:v>
      </x:c>
      <x:c r="O184" s="1" t="str">
        <x:v>Admin Office - 1</x:v>
      </x:c>
      <x:c r="P184" s="1" t="n">
        <x:v>1</x:v>
      </x:c>
      <x:c r="Q184" s="1" t="str">
        <x:v>high_security_mode_logs</x:v>
      </x:c>
      <x:c r="R184" s="1" t="n">
        <x:v>11</x:v>
      </x:c>
      <x:c r="S184" s="1" t="str">
        <x:v>Reset exit</x:v>
      </x:c>
      <x:c r="T184" s="1"/>
      <x:c r="U184" s="5" t="str"/>
      <x:c r="V184" s="1" t="n">
        <x:v>0</x:v>
      </x:c>
      <x:c r="W184" s="1" t="n">
        <x:v>0</x:v>
      </x:c>
      <x:c r="X184" s="1" t="str">
        <x:v>Not applicable</x:v>
      </x:c>
      <x:c r="Y184" s="1" t="n">
        <x:f>IF(V184=1,IF(E184="GRANTED",IF(X184="GRANTED",1,0),IF(X184="DENIED",1,0)),0)</x:f>
        <x:v>0</x:v>
      </x:c>
    </x:row>
    <x:row r="185" ht="23" customHeight="1">
      <x:c r="A185" s="9" t="n">
        <x:v>46246.4967790625</x:v>
      </x:c>
      <x:c r="B185" s="1" t="str">
        <x:v>Bayani Dela Rosa</x:v>
      </x:c>
      <x:c r="C185" s="1" t="str">
        <x:v>Exit</x:v>
      </x:c>
      <x:c r="D185" s="1" t="str">
        <x:v>HighSecurity</x:v>
      </x:c>
      <x:c r="E185" s="1" t="str">
        <x:v>GRANTED</x:v>
      </x:c>
      <x:c r="F185" s="11" t="n">
        <x:v>43.1579</x:v>
      </x:c>
      <x:c r="G185" s="11" t="str">
        <x:v>N/A (Bypassed)</x:v>
      </x:c>
      <x:c r="H185" s="11" t="str">
        <x:v>N/A (Bypassed)</x:v>
      </x:c>
      <x:c r="I185" s="11" t="str">
        <x:v>N/A (Bypassed)</x:v>
      </x:c>
      <x:c r="J185" s="11" t="str">
        <x:v>N/A (Bypassed)</x:v>
      </x:c>
      <x:c r="K185" s="11" t="str">
        <x:v>N/A</x:v>
      </x:c>
      <x:c r="L185" s="11" t="n">
        <x:v>43.1579</x:v>
      </x:c>
      <x:c r="M185" s="11" t="n">
        <x:v>35.9795</x:v>
      </x:c>
      <x:c r="N185" s="1" t="str">
        <x:v>6898be28591c4e1abe73f83f56b307e4</x:v>
      </x:c>
      <x:c r="O185" s="1" t="str">
        <x:v>Admin Office - 1</x:v>
      </x:c>
      <x:c r="P185" s="1" t="n">
        <x:v>1</x:v>
      </x:c>
      <x:c r="Q185" s="1" t="str">
        <x:v>high_security_mode_logs</x:v>
      </x:c>
      <x:c r="R185" s="1" t="n">
        <x:v>12</x:v>
      </x:c>
      <x:c r="S185" s="1" t="str">
        <x:v>Reset exit</x:v>
      </x:c>
      <x:c r="T185" s="1"/>
      <x:c r="U185" s="5" t="str"/>
      <x:c r="V185" s="1" t="n">
        <x:v>0</x:v>
      </x:c>
      <x:c r="W185" s="1" t="n">
        <x:v>0</x:v>
      </x:c>
      <x:c r="X185" s="1" t="str">
        <x:v>Not applicable</x:v>
      </x:c>
      <x:c r="Y185" s="1" t="n">
        <x:f>IF(V185=1,IF(E185="GRANTED",IF(X185="GRANTED",1,0),IF(X185="DENIED",1,0)),0)</x:f>
        <x:v>0</x:v>
      </x:c>
    </x:row>
    <x:row r="186" ht="23" customHeight="1">
      <x:c r="A186" s="9" t="n">
        <x:v>46246.496760752314</x:v>
      </x:c>
      <x:c r="B186" s="1" t="str">
        <x:v>Jose Mari Bautista</x:v>
      </x:c>
      <x:c r="C186" s="1" t="str">
        <x:v>Exit</x:v>
      </x:c>
      <x:c r="D186" s="1" t="str">
        <x:v>HighSecurity</x:v>
      </x:c>
      <x:c r="E186" s="1" t="str">
        <x:v>GRANTED</x:v>
      </x:c>
      <x:c r="F186" s="11" t="n">
        <x:v>11.9585</x:v>
      </x:c>
      <x:c r="G186" s="11" t="str">
        <x:v>N/A (Bypassed)</x:v>
      </x:c>
      <x:c r="H186" s="11" t="str">
        <x:v>N/A (Bypassed)</x:v>
      </x:c>
      <x:c r="I186" s="11" t="str">
        <x:v>N/A (Bypassed)</x:v>
      </x:c>
      <x:c r="J186" s="11" t="str">
        <x:v>N/A (Bypassed)</x:v>
      </x:c>
      <x:c r="K186" s="11" t="str">
        <x:v>N/A</x:v>
      </x:c>
      <x:c r="L186" s="11" t="n">
        <x:v>11.9585</x:v>
      </x:c>
      <x:c r="M186" s="11" t="n">
        <x:v>2.6747</x:v>
      </x:c>
      <x:c r="N186" s="1" t="str">
        <x:v>6898be28591c4e1abe73f83f56b307e4</x:v>
      </x:c>
      <x:c r="O186" s="1" t="str">
        <x:v>Admin Office - 1</x:v>
      </x:c>
      <x:c r="P186" s="1" t="n">
        <x:v>1</x:v>
      </x:c>
      <x:c r="Q186" s="1" t="str">
        <x:v>high_security_mode_logs</x:v>
      </x:c>
      <x:c r="R186" s="1" t="n">
        <x:v>13</x:v>
      </x:c>
      <x:c r="S186" s="1" t="str">
        <x:v>Reset exit</x:v>
      </x:c>
      <x:c r="T186" s="1"/>
      <x:c r="U186" s="5" t="str"/>
      <x:c r="V186" s="1" t="n">
        <x:v>0</x:v>
      </x:c>
      <x:c r="W186" s="1" t="n">
        <x:v>0</x:v>
      </x:c>
      <x:c r="X186" s="1" t="str">
        <x:v>Not applicable</x:v>
      </x:c>
      <x:c r="Y186" s="1" t="n">
        <x:f>IF(V186=1,IF(E186="GRANTED",IF(X186="GRANTED",1,0),IF(X186="DENIED",1,0)),0)</x:f>
        <x:v>0</x:v>
      </x:c>
    </x:row>
    <x:row r="187" ht="23" customHeight="1">
      <x:c r="A187" s="9" t="n">
        <x:v>46246.49674184028</x:v>
      </x:c>
      <x:c r="B187" s="1" t="str">
        <x:v>Angelito Fernandez</x:v>
      </x:c>
      <x:c r="C187" s="1" t="str">
        <x:v>Exit</x:v>
      </x:c>
      <x:c r="D187" s="1" t="str">
        <x:v>HighSecurity</x:v>
      </x:c>
      <x:c r="E187" s="1" t="str">
        <x:v>GRANTED</x:v>
      </x:c>
      <x:c r="F187" s="11" t="n">
        <x:v>10.8749</x:v>
      </x:c>
      <x:c r="G187" s="11" t="str">
        <x:v>N/A (Bypassed)</x:v>
      </x:c>
      <x:c r="H187" s="11" t="str">
        <x:v>N/A (Bypassed)</x:v>
      </x:c>
      <x:c r="I187" s="11" t="str">
        <x:v>N/A (Bypassed)</x:v>
      </x:c>
      <x:c r="J187" s="11" t="str">
        <x:v>N/A (Bypassed)</x:v>
      </x:c>
      <x:c r="K187" s="11" t="str">
        <x:v>N/A</x:v>
      </x:c>
      <x:c r="L187" s="11" t="n">
        <x:v>10.8749</x:v>
      </x:c>
      <x:c r="M187" s="11" t="n">
        <x:v>2.7572</x:v>
      </x:c>
      <x:c r="N187" s="1" t="str">
        <x:v>6898be28591c4e1abe73f83f56b307e4</x:v>
      </x:c>
      <x:c r="O187" s="1" t="str">
        <x:v>Admin Office - 1</x:v>
      </x:c>
      <x:c r="P187" s="1" t="n">
        <x:v>1</x:v>
      </x:c>
      <x:c r="Q187" s="1" t="str">
        <x:v>high_security_mode_logs</x:v>
      </x:c>
      <x:c r="R187" s="1" t="n">
        <x:v>14</x:v>
      </x:c>
      <x:c r="S187" s="1" t="str">
        <x:v>Reset exit</x:v>
      </x:c>
      <x:c r="T187" s="1"/>
      <x:c r="U187" s="5" t="str"/>
      <x:c r="V187" s="1" t="n">
        <x:v>0</x:v>
      </x:c>
      <x:c r="W187" s="1" t="n">
        <x:v>0</x:v>
      </x:c>
      <x:c r="X187" s="1" t="str">
        <x:v>Not applicable</x:v>
      </x:c>
      <x:c r="Y187" s="1" t="n">
        <x:f>IF(V187=1,IF(E187="GRANTED",IF(X187="GRANTED",1,0),IF(X187="DENIED",1,0)),0)</x:f>
        <x:v>0</x:v>
      </x:c>
    </x:row>
    <x:row r="188" ht="23" customHeight="1">
      <x:c r="A188" s="9" t="n">
        <x:v>46246.4967239699</x:v>
      </x:c>
      <x:c r="B188" s="1" t="str">
        <x:v>Roberto Ramos</x:v>
      </x:c>
      <x:c r="C188" s="1" t="str">
        <x:v>Exit</x:v>
      </x:c>
      <x:c r="D188" s="1" t="str">
        <x:v>HighSecurity</x:v>
      </x:c>
      <x:c r="E188" s="1" t="str">
        <x:v>GRANTED</x:v>
      </x:c>
      <x:c r="F188" s="11" t="n">
        <x:v>43.312</x:v>
      </x:c>
      <x:c r="G188" s="11" t="str">
        <x:v>N/A (Bypassed)</x:v>
      </x:c>
      <x:c r="H188" s="11" t="str">
        <x:v>N/A (Bypassed)</x:v>
      </x:c>
      <x:c r="I188" s="11" t="str">
        <x:v>N/A (Bypassed)</x:v>
      </x:c>
      <x:c r="J188" s="11" t="str">
        <x:v>N/A (Bypassed)</x:v>
      </x:c>
      <x:c r="K188" s="11" t="str">
        <x:v>N/A</x:v>
      </x:c>
      <x:c r="L188" s="11" t="n">
        <x:v>43.312</x:v>
      </x:c>
      <x:c r="M188" s="11" t="n">
        <x:v>2.7286</x:v>
      </x:c>
      <x:c r="N188" s="1" t="str">
        <x:v>6898be28591c4e1abe73f83f56b307e4</x:v>
      </x:c>
      <x:c r="O188" s="1" t="str">
        <x:v>Admin Office - 1</x:v>
      </x:c>
      <x:c r="P188" s="1" t="n">
        <x:v>1</x:v>
      </x:c>
      <x:c r="Q188" s="1" t="str">
        <x:v>high_security_mode_logs</x:v>
      </x:c>
      <x:c r="R188" s="1" t="n">
        <x:v>15</x:v>
      </x:c>
      <x:c r="S188" s="1" t="str">
        <x:v>Reset exit</x:v>
      </x:c>
      <x:c r="T188" s="1"/>
      <x:c r="U188" s="5" t="str"/>
      <x:c r="V188" s="1" t="n">
        <x:v>0</x:v>
      </x:c>
      <x:c r="W188" s="1" t="n">
        <x:v>0</x:v>
      </x:c>
      <x:c r="X188" s="1" t="str">
        <x:v>Not applicable</x:v>
      </x:c>
      <x:c r="Y188" s="1" t="n">
        <x:f>IF(V188=1,IF(E188="GRANTED",IF(X188="GRANTED",1,0),IF(X188="DENIED",1,0)),0)</x:f>
        <x:v>0</x:v>
      </x:c>
    </x:row>
    <x:row r="189" ht="23" customHeight="1">
      <x:c r="A189" s="9" t="n">
        <x:v>46246.49670393519</x:v>
      </x:c>
      <x:c r="B189" s="1" t="str">
        <x:v>Juanito Delos Santos</x:v>
      </x:c>
      <x:c r="C189" s="1" t="str">
        <x:v>Exit</x:v>
      </x:c>
      <x:c r="D189" s="1" t="str">
        <x:v>HighSecurity</x:v>
      </x:c>
      <x:c r="E189" s="1" t="str">
        <x:v>GRANTED</x:v>
      </x:c>
      <x:c r="F189" s="11" t="n">
        <x:v>8.9675</x:v>
      </x:c>
      <x:c r="G189" s="11" t="str">
        <x:v>N/A (Bypassed)</x:v>
      </x:c>
      <x:c r="H189" s="11" t="str">
        <x:v>N/A (Bypassed)</x:v>
      </x:c>
      <x:c r="I189" s="11" t="str">
        <x:v>N/A (Bypassed)</x:v>
      </x:c>
      <x:c r="J189" s="11" t="str">
        <x:v>N/A (Bypassed)</x:v>
      </x:c>
      <x:c r="K189" s="11" t="str">
        <x:v>N/A</x:v>
      </x:c>
      <x:c r="L189" s="11" t="n">
        <x:v>8.9675</x:v>
      </x:c>
      <x:c r="M189" s="11" t="n">
        <x:v>2.0869</x:v>
      </x:c>
      <x:c r="N189" s="1" t="str">
        <x:v>6898be28591c4e1abe73f83f56b307e4</x:v>
      </x:c>
      <x:c r="O189" s="1" t="str">
        <x:v>Admin Office - 1</x:v>
      </x:c>
      <x:c r="P189" s="1" t="n">
        <x:v>1</x:v>
      </x:c>
      <x:c r="Q189" s="1" t="str">
        <x:v>high_security_mode_logs</x:v>
      </x:c>
      <x:c r="R189" s="1" t="n">
        <x:v>16</x:v>
      </x:c>
      <x:c r="S189" s="1" t="str">
        <x:v>Reset exit</x:v>
      </x:c>
      <x:c r="T189" s="1"/>
      <x:c r="U189" s="5" t="str"/>
      <x:c r="V189" s="1" t="n">
        <x:v>0</x:v>
      </x:c>
      <x:c r="W189" s="1" t="n">
        <x:v>0</x:v>
      </x:c>
      <x:c r="X189" s="1" t="str">
        <x:v>Not applicable</x:v>
      </x:c>
      <x:c r="Y189" s="1" t="n">
        <x:f>IF(V189=1,IF(E189="GRANTED",IF(X189="GRANTED",1,0),IF(X189="DENIED",1,0)),0)</x:f>
        <x:v>0</x:v>
      </x:c>
    </x:row>
    <x:row r="190" ht="23" customHeight="1">
      <x:c r="A190" s="9" t="n">
        <x:v>46246.49668380787</x:v>
      </x:c>
      <x:c r="B190" s="1" t="str">
        <x:v>[TEMP] Manuel Mendoza</x:v>
      </x:c>
      <x:c r="C190" s="1" t="str">
        <x:v>Exit</x:v>
      </x:c>
      <x:c r="D190" s="1" t="str">
        <x:v>HighSecurity</x:v>
      </x:c>
      <x:c r="E190" s="1" t="str">
        <x:v>GRANTED</x:v>
      </x:c>
      <x:c r="F190" s="11" t="n">
        <x:v>11.7109</x:v>
      </x:c>
      <x:c r="G190" s="11" t="str">
        <x:v>N/A (Bypassed)</x:v>
      </x:c>
      <x:c r="H190" s="11" t="str">
        <x:v>N/A (Bypassed)</x:v>
      </x:c>
      <x:c r="I190" s="11" t="str">
        <x:v>N/A (Bypassed)</x:v>
      </x:c>
      <x:c r="J190" s="11" t="str">
        <x:v>N/A (Bypassed)</x:v>
      </x:c>
      <x:c r="K190" s="11" t="str">
        <x:v>N/A</x:v>
      </x:c>
      <x:c r="L190" s="11" t="n">
        <x:v>11.7109</x:v>
      </x:c>
      <x:c r="M190" s="11" t="n">
        <x:v>2.8589</x:v>
      </x:c>
      <x:c r="N190" s="1" t="str">
        <x:v>6898be28591c4e1abe73f83f56b307e4</x:v>
      </x:c>
      <x:c r="O190" s="1" t="str">
        <x:v>Admin Office - 1</x:v>
      </x:c>
      <x:c r="P190" s="1" t="n">
        <x:v>1</x:v>
      </x:c>
      <x:c r="Q190" s="1" t="str">
        <x:v>high_security_mode_logs</x:v>
      </x:c>
      <x:c r="R190" s="1" t="n">
        <x:v>17</x:v>
      </x:c>
      <x:c r="S190" s="1" t="str">
        <x:v>Reset exit</x:v>
      </x:c>
      <x:c r="T190" s="1"/>
      <x:c r="U190" s="5" t="str"/>
      <x:c r="V190" s="1" t="n">
        <x:v>0</x:v>
      </x:c>
      <x:c r="W190" s="1" t="n">
        <x:v>0</x:v>
      </x:c>
      <x:c r="X190" s="1" t="str">
        <x:v>Not applicable</x:v>
      </x:c>
      <x:c r="Y190" s="1" t="n">
        <x:f>IF(V190=1,IF(E190="GRANTED",IF(X190="GRANTED",1,0),IF(X190="DENIED",1,0)),0)</x:f>
        <x:v>0</x:v>
      </x:c>
    </x:row>
    <x:row r="191" ht="23" customHeight="1">
      <x:c r="A191" s="9" t="n">
        <x:v>46246.49666300926</x:v>
      </x:c>
      <x:c r="B191" s="1" t="str">
        <x:v>Francisco Garcia</x:v>
      </x:c>
      <x:c r="C191" s="1" t="str">
        <x:v>Exit</x:v>
      </x:c>
      <x:c r="D191" s="1" t="str">
        <x:v>HighSecurity</x:v>
      </x:c>
      <x:c r="E191" s="1" t="str">
        <x:v>GRANTED</x:v>
      </x:c>
      <x:c r="F191" s="11" t="n">
        <x:v>11.22</x:v>
      </x:c>
      <x:c r="G191" s="11" t="str">
        <x:v>N/A (Bypassed)</x:v>
      </x:c>
      <x:c r="H191" s="11" t="str">
        <x:v>N/A (Bypassed)</x:v>
      </x:c>
      <x:c r="I191" s="11" t="str">
        <x:v>N/A (Bypassed)</x:v>
      </x:c>
      <x:c r="J191" s="11" t="str">
        <x:v>N/A (Bypassed)</x:v>
      </x:c>
      <x:c r="K191" s="11" t="str">
        <x:v>N/A</x:v>
      </x:c>
      <x:c r="L191" s="11" t="n">
        <x:v>11.22</x:v>
      </x:c>
      <x:c r="M191" s="11" t="n">
        <x:v>3.2061</x:v>
      </x:c>
      <x:c r="N191" s="1" t="str">
        <x:v>6898be28591c4e1abe73f83f56b307e4</x:v>
      </x:c>
      <x:c r="O191" s="1" t="str">
        <x:v>Admin Office - 1</x:v>
      </x:c>
      <x:c r="P191" s="1" t="n">
        <x:v>1</x:v>
      </x:c>
      <x:c r="Q191" s="1" t="str">
        <x:v>high_security_mode_logs</x:v>
      </x:c>
      <x:c r="R191" s="1" t="n">
        <x:v>18</x:v>
      </x:c>
      <x:c r="S191" s="1" t="str">
        <x:v>Reset exit</x:v>
      </x:c>
      <x:c r="T191" s="1"/>
      <x:c r="U191" s="5" t="str"/>
      <x:c r="V191" s="1" t="n">
        <x:v>0</x:v>
      </x:c>
      <x:c r="W191" s="1" t="n">
        <x:v>0</x:v>
      </x:c>
      <x:c r="X191" s="1" t="str">
        <x:v>Not applicable</x:v>
      </x:c>
      <x:c r="Y191" s="1" t="n">
        <x:f>IF(V191=1,IF(E191="GRANTED",IF(X191="GRANTED",1,0),IF(X191="DENIED",1,0)),0)</x:f>
        <x:v>0</x:v>
      </x:c>
    </x:row>
    <x:row r="192" ht="23" customHeight="1">
      <x:c r="A192" s="9" t="n">
        <x:v>46246.49664347222</x:v>
      </x:c>
      <x:c r="B192" s="1" t="str">
        <x:v>[TEMP] Pedro Reyes</x:v>
      </x:c>
      <x:c r="C192" s="1" t="str">
        <x:v>Exit</x:v>
      </x:c>
      <x:c r="D192" s="1" t="str">
        <x:v>HighSecurity</x:v>
      </x:c>
      <x:c r="E192" s="1" t="str">
        <x:v>GRANTED</x:v>
      </x:c>
      <x:c r="F192" s="11" t="n">
        <x:v>10.7403</x:v>
      </x:c>
      <x:c r="G192" s="11" t="str">
        <x:v>N/A (Bypassed)</x:v>
      </x:c>
      <x:c r="H192" s="11" t="str">
        <x:v>N/A (Bypassed)</x:v>
      </x:c>
      <x:c r="I192" s="11" t="str">
        <x:v>N/A (Bypassed)</x:v>
      </x:c>
      <x:c r="J192" s="11" t="str">
        <x:v>N/A (Bypassed)</x:v>
      </x:c>
      <x:c r="K192" s="11" t="str">
        <x:v>N/A</x:v>
      </x:c>
      <x:c r="L192" s="11" t="n">
        <x:v>10.7403</x:v>
      </x:c>
      <x:c r="M192" s="11" t="n">
        <x:v>3.9351</x:v>
      </x:c>
      <x:c r="N192" s="1" t="str">
        <x:v>6898be28591c4e1abe73f83f56b307e4</x:v>
      </x:c>
      <x:c r="O192" s="1" t="str">
        <x:v>Admin Office - 1</x:v>
      </x:c>
      <x:c r="P192" s="1" t="n">
        <x:v>1</x:v>
      </x:c>
      <x:c r="Q192" s="1" t="str">
        <x:v>high_security_mode_logs</x:v>
      </x:c>
      <x:c r="R192" s="1" t="n">
        <x:v>19</x:v>
      </x:c>
      <x:c r="S192" s="1" t="str">
        <x:v>Reset exit</x:v>
      </x:c>
      <x:c r="T192" s="1"/>
      <x:c r="U192" s="5" t="str"/>
      <x:c r="V192" s="1" t="n">
        <x:v>0</x:v>
      </x:c>
      <x:c r="W192" s="1" t="n">
        <x:v>0</x:v>
      </x:c>
      <x:c r="X192" s="1" t="str">
        <x:v>Not applicable</x:v>
      </x:c>
      <x:c r="Y192" s="1" t="n">
        <x:f>IF(V192=1,IF(E192="GRANTED",IF(X192="GRANTED",1,0),IF(X192="DENIED",1,0)),0)</x:f>
        <x:v>0</x:v>
      </x:c>
    </x:row>
    <x:row r="193" ht="23" customHeight="1">
      <x:c r="A193" s="9" t="n">
        <x:v>46246.49662320602</x:v>
      </x:c>
      <x:c r="B193" s="1" t="str">
        <x:v>[TEMP] Jose Santos</x:v>
      </x:c>
      <x:c r="C193" s="1" t="str">
        <x:v>Exit</x:v>
      </x:c>
      <x:c r="D193" s="1" t="str">
        <x:v>HighSecurity</x:v>
      </x:c>
      <x:c r="E193" s="1" t="str">
        <x:v>GRANTED</x:v>
      </x:c>
      <x:c r="F193" s="11" t="n">
        <x:v>38.0756</x:v>
      </x:c>
      <x:c r="G193" s="11" t="str">
        <x:v>N/A (Bypassed)</x:v>
      </x:c>
      <x:c r="H193" s="11" t="str">
        <x:v>N/A (Bypassed)</x:v>
      </x:c>
      <x:c r="I193" s="11" t="str">
        <x:v>N/A (Bypassed)</x:v>
      </x:c>
      <x:c r="J193" s="11" t="str">
        <x:v>N/A (Bypassed)</x:v>
      </x:c>
      <x:c r="K193" s="11" t="str">
        <x:v>N/A</x:v>
      </x:c>
      <x:c r="L193" s="11" t="n">
        <x:v>38.0756</x:v>
      </x:c>
      <x:c r="M193" s="11" t="n">
        <x:v>30.0037</x:v>
      </x:c>
      <x:c r="N193" s="1" t="str">
        <x:v>6898be28591c4e1abe73f83f56b307e4</x:v>
      </x:c>
      <x:c r="O193" s="1" t="str">
        <x:v>Admin Office - 1</x:v>
      </x:c>
      <x:c r="P193" s="1" t="n">
        <x:v>1</x:v>
      </x:c>
      <x:c r="Q193" s="1" t="str">
        <x:v>high_security_mode_logs</x:v>
      </x:c>
      <x:c r="R193" s="1" t="n">
        <x:v>20</x:v>
      </x:c>
      <x:c r="S193" s="1" t="str">
        <x:v>Reset exit</x:v>
      </x:c>
      <x:c r="T193" s="1"/>
      <x:c r="U193" s="5" t="str"/>
      <x:c r="V193" s="1" t="n">
        <x:v>0</x:v>
      </x:c>
      <x:c r="W193" s="1" t="n">
        <x:v>0</x:v>
      </x:c>
      <x:c r="X193" s="1" t="str">
        <x:v>Not applicable</x:v>
      </x:c>
      <x:c r="Y193" s="1" t="n">
        <x:f>IF(V193=1,IF(E193="GRANTED",IF(X193="GRANTED",1,0),IF(X193="DENIED",1,0)),0)</x:f>
        <x:v>0</x:v>
      </x:c>
    </x:row>
    <x:row r="194" ht="23" customHeight="1">
      <x:c r="A194" s="9" t="n">
        <x:v>46246.49660111111</x:v>
      </x:c>
      <x:c r="B194" s="1" t="str">
        <x:v>[TEMP] Juan Dela Cruz</x:v>
      </x:c>
      <x:c r="C194" s="1" t="str">
        <x:v>Exit</x:v>
      </x:c>
      <x:c r="D194" s="1" t="str">
        <x:v>HighSecurity</x:v>
      </x:c>
      <x:c r="E194" s="1" t="str">
        <x:v>GRANTED</x:v>
      </x:c>
      <x:c r="F194" s="11" t="n">
        <x:v>9.9285</x:v>
      </x:c>
      <x:c r="G194" s="11" t="str">
        <x:v>N/A (Bypassed)</x:v>
      </x:c>
      <x:c r="H194" s="11" t="str">
        <x:v>N/A (Bypassed)</x:v>
      </x:c>
      <x:c r="I194" s="11" t="str">
        <x:v>N/A (Bypassed)</x:v>
      </x:c>
      <x:c r="J194" s="11" t="str">
        <x:v>N/A (Bypassed)</x:v>
      </x:c>
      <x:c r="K194" s="11" t="str">
        <x:v>N/A</x:v>
      </x:c>
      <x:c r="L194" s="11" t="n">
        <x:v>9.9285</x:v>
      </x:c>
      <x:c r="M194" s="11" t="n">
        <x:v>2.7416</x:v>
      </x:c>
      <x:c r="N194" s="1" t="str">
        <x:v>6898be28591c4e1abe73f83f56b307e4</x:v>
      </x:c>
      <x:c r="O194" s="1" t="str">
        <x:v>Admin Office - 1</x:v>
      </x:c>
      <x:c r="P194" s="1" t="n">
        <x:v>1</x:v>
      </x:c>
      <x:c r="Q194" s="1" t="str">
        <x:v>high_security_mode_logs</x:v>
      </x:c>
      <x:c r="R194" s="1" t="n">
        <x:v>21</x:v>
      </x:c>
      <x:c r="S194" s="1" t="str">
        <x:v>Reset exit</x:v>
      </x:c>
      <x:c r="T194" s="1"/>
      <x:c r="U194" s="5" t="str"/>
      <x:c r="V194" s="1" t="n">
        <x:v>0</x:v>
      </x:c>
      <x:c r="W194" s="1" t="n">
        <x:v>0</x:v>
      </x:c>
      <x:c r="X194" s="1" t="str">
        <x:v>Not applicable</x:v>
      </x:c>
      <x:c r="Y194" s="1" t="n">
        <x:f>IF(V194=1,IF(E194="GRANTED",IF(X194="GRANTED",1,0),IF(X194="DENIED",1,0)),0)</x:f>
        <x:v>0</x:v>
      </x:c>
    </x:row>
    <x:row r="195" ht="23" customHeight="1">
      <x:c r="A195" s="9" t="n">
        <x:v>46246.49641707176</x:v>
      </x:c>
      <x:c r="B195" s="1" t="str">
        <x:v>Pedro Penduko</x:v>
      </x:c>
      <x:c r="C195" s="1" t="str">
        <x:v>Entry</x:v>
      </x:c>
      <x:c r="D195" s="1" t="str">
        <x:v>HighSecurity</x:v>
      </x:c>
      <x:c r="E195" s="1" t="str">
        <x:v>GRANTED</x:v>
      </x:c>
      <x:c r="F195" s="11" t="n">
        <x:v>13.7952</x:v>
      </x:c>
      <x:c r="G195" s="11" t="n">
        <x:v>2749.9937</x:v>
      </x:c>
      <x:c r="H195" s="11" t="n">
        <x:v>38.1077</x:v>
      </x:c>
      <x:c r="I195" s="11" t="n">
        <x:v>2451.0065</x:v>
      </x:c>
      <x:c r="J195" s="11" t="n">
        <x:v>2.1698</x:v>
      </x:c>
      <x:c r="K195" s="11" t="n">
        <x:v>5201.0002</x:v>
      </x:c>
      <x:c r="L195" s="11" t="n">
        <x:v>54.0727</x:v>
      </x:c>
      <x:c r="M195" s="11" t="n">
        <x:v>44.1144</x:v>
      </x:c>
      <x:c r="N195" s="1" t="str">
        <x:v>6898be28591c4e1abe73f83f56b307e4</x:v>
      </x:c>
      <x:c r="O195" s="1" t="str">
        <x:v>Admin Office - 1</x:v>
      </x:c>
      <x:c r="P195" s="1" t="n">
        <x:v>1</x:v>
      </x:c>
      <x:c r="Q195" s="1" t="str">
        <x:v>high_security_mode_logs</x:v>
      </x:c>
      <x:c r="R195" s="1" t="n">
        <x:v>22</x:v>
      </x:c>
      <x:c r="S195" s="1" t="str">
        <x:v>Successful entry</x:v>
      </x:c>
      <x:c r="T195" s="1" t="n">
        <x:v>2</x:v>
      </x:c>
      <x:c r="U195" s="5" t="str"/>
      <x:c r="V195" s="1" t="n">
        <x:v>1</x:v>
      </x:c>
      <x:c r="W195" s="1" t="n">
        <x:v>1</x:v>
      </x:c>
      <x:c r="X195" s="1" t="str">
        <x:v>GRANTED</x:v>
      </x:c>
      <x:c r="Y195" s="1" t="n">
        <x:f>IF(V195=1,IF(E195="GRANTED",IF(X195="GRANTED",1,0),IF(X195="DENIED",1,0)),0)</x:f>
        <x:v>1</x:v>
      </x:c>
    </x:row>
    <x:row r="196" ht="23" customHeight="1">
      <x:c r="A196" s="9" t="n">
        <x:v>46246.49628871528</x:v>
      </x:c>
      <x:c r="B196" s="1" t="str">
        <x:v>Juan Tamad</x:v>
      </x:c>
      <x:c r="C196" s="1" t="str">
        <x:v>Entry</x:v>
      </x:c>
      <x:c r="D196" s="1" t="str">
        <x:v>HighSecurity</x:v>
      </x:c>
      <x:c r="E196" s="1" t="str">
        <x:v>GRANTED</x:v>
      </x:c>
      <x:c r="F196" s="11" t="n">
        <x:v>10.5792</x:v>
      </x:c>
      <x:c r="G196" s="11" t="n">
        <x:v>1813.8661</x:v>
      </x:c>
      <x:c r="H196" s="11" t="n">
        <x:v>39.4436</x:v>
      </x:c>
      <x:c r="I196" s="11" t="n">
        <x:v>2174.6174</x:v>
      </x:c>
      <x:c r="J196" s="11" t="n">
        <x:v>2.2387</x:v>
      </x:c>
      <x:c r="K196" s="11" t="n">
        <x:v>3988.4835</x:v>
      </x:c>
      <x:c r="L196" s="11" t="n">
        <x:v>52.2615</x:v>
      </x:c>
      <x:c r="M196" s="11" t="n">
        <x:v>43.556</x:v>
      </x:c>
      <x:c r="N196" s="1" t="str">
        <x:v>6898be28591c4e1abe73f83f56b307e4</x:v>
      </x:c>
      <x:c r="O196" s="1" t="str">
        <x:v>Admin Office - 1</x:v>
      </x:c>
      <x:c r="P196" s="1" t="n">
        <x:v>1</x:v>
      </x:c>
      <x:c r="Q196" s="1" t="str">
        <x:v>high_security_mode_logs</x:v>
      </x:c>
      <x:c r="R196" s="1" t="n">
        <x:v>23</x:v>
      </x:c>
      <x:c r="S196" s="1" t="str">
        <x:v>Successful entry</x:v>
      </x:c>
      <x:c r="T196" s="1" t="n">
        <x:v>2</x:v>
      </x:c>
      <x:c r="U196" s="5" t="str"/>
      <x:c r="V196" s="1" t="n">
        <x:v>1</x:v>
      </x:c>
      <x:c r="W196" s="1" t="n">
        <x:v>1</x:v>
      </x:c>
      <x:c r="X196" s="1" t="str">
        <x:v>GRANTED</x:v>
      </x:c>
      <x:c r="Y196" s="1" t="n">
        <x:f>IF(V196=1,IF(E196="GRANTED",IF(X196="GRANTED",1,0),IF(X196="DENIED",1,0)),0)</x:f>
        <x:v>1</x:v>
      </x:c>
    </x:row>
    <x:row r="197" ht="23" customHeight="1">
      <x:c r="A197" s="9" t="n">
        <x:v>46246.49616765046</x:v>
      </x:c>
      <x:c r="B197" s="1" t="str">
        <x:v>Luningning Santos</x:v>
      </x:c>
      <x:c r="C197" s="1" t="str">
        <x:v>Entry</x:v>
      </x:c>
      <x:c r="D197" s="1" t="str">
        <x:v>HighSecurity</x:v>
      </x:c>
      <x:c r="E197" s="1" t="str">
        <x:v>GRANTED</x:v>
      </x:c>
      <x:c r="F197" s="11" t="n">
        <x:v>12.1836</x:v>
      </x:c>
      <x:c r="G197" s="11" t="n">
        <x:v>2255.023</x:v>
      </x:c>
      <x:c r="H197" s="11" t="n">
        <x:v>37.7268</x:v>
      </x:c>
      <x:c r="I197" s="11" t="n">
        <x:v>2046.2834</x:v>
      </x:c>
      <x:c r="J197" s="11" t="n">
        <x:v>2.2307</x:v>
      </x:c>
      <x:c r="K197" s="11" t="n">
        <x:v>4301.3064</x:v>
      </x:c>
      <x:c r="L197" s="11" t="n">
        <x:v>52.1411</x:v>
      </x:c>
      <x:c r="M197" s="11" t="n">
        <x:v>43.6019</x:v>
      </x:c>
      <x:c r="N197" s="1" t="str">
        <x:v>6898be28591c4e1abe73f83f56b307e4</x:v>
      </x:c>
      <x:c r="O197" s="1" t="str">
        <x:v>Admin Office - 1</x:v>
      </x:c>
      <x:c r="P197" s="1" t="n">
        <x:v>1</x:v>
      </x:c>
      <x:c r="Q197" s="1" t="str">
        <x:v>high_security_mode_logs</x:v>
      </x:c>
      <x:c r="R197" s="1" t="n">
        <x:v>24</x:v>
      </x:c>
      <x:c r="S197" s="1" t="str">
        <x:v>Successful entry</x:v>
      </x:c>
      <x:c r="T197" s="1" t="n">
        <x:v>2</x:v>
      </x:c>
      <x:c r="U197" s="5" t="str"/>
      <x:c r="V197" s="1" t="n">
        <x:v>1</x:v>
      </x:c>
      <x:c r="W197" s="1" t="n">
        <x:v>1</x:v>
      </x:c>
      <x:c r="X197" s="1" t="str">
        <x:v>GRANTED</x:v>
      </x:c>
      <x:c r="Y197" s="1" t="n">
        <x:f>IF(V197=1,IF(E197="GRANTED",IF(X197="GRANTED",1,0),IF(X197="DENIED",1,0)),0)</x:f>
        <x:v>1</x:v>
      </x:c>
    </x:row>
    <x:row r="198" ht="23" customHeight="1">
      <x:c r="A198" s="9" t="n">
        <x:v>46246.496056585645</x:v>
      </x:c>
      <x:c r="B198" s="1" t="str">
        <x:v>Teresita Gonzales</x:v>
      </x:c>
      <x:c r="C198" s="1" t="str">
        <x:v>Entry</x:v>
      </x:c>
      <x:c r="D198" s="1" t="str">
        <x:v>HighSecurity</x:v>
      </x:c>
      <x:c r="E198" s="1" t="str">
        <x:v>GRANTED</x:v>
      </x:c>
      <x:c r="F198" s="11" t="n">
        <x:v>9.98</x:v>
      </x:c>
      <x:c r="G198" s="11" t="n">
        <x:v>2034.8775</x:v>
      </x:c>
      <x:c r="H198" s="11" t="n">
        <x:v>37.0376</x:v>
      </x:c>
      <x:c r="I198" s="11" t="n">
        <x:v>3390.3215</x:v>
      </x:c>
      <x:c r="J198" s="11" t="n">
        <x:v>2.5555</x:v>
      </x:c>
      <x:c r="K198" s="11" t="n">
        <x:v>5425.199</x:v>
      </x:c>
      <x:c r="L198" s="11" t="n">
        <x:v>49.5731</x:v>
      </x:c>
      <x:c r="M198" s="11" t="n">
        <x:v>41.1979</x:v>
      </x:c>
      <x:c r="N198" s="1" t="str">
        <x:v>6898be28591c4e1abe73f83f56b307e4</x:v>
      </x:c>
      <x:c r="O198" s="1" t="str">
        <x:v>Admin Office - 1</x:v>
      </x:c>
      <x:c r="P198" s="1" t="n">
        <x:v>1</x:v>
      </x:c>
      <x:c r="Q198" s="1" t="str">
        <x:v>high_security_mode_logs</x:v>
      </x:c>
      <x:c r="R198" s="1" t="n">
        <x:v>25</x:v>
      </x:c>
      <x:c r="S198" s="1" t="str">
        <x:v>Successful entry</x:v>
      </x:c>
      <x:c r="T198" s="1" t="n">
        <x:v>2</x:v>
      </x:c>
      <x:c r="U198" s="5" t="str"/>
      <x:c r="V198" s="1" t="n">
        <x:v>1</x:v>
      </x:c>
      <x:c r="W198" s="1" t="n">
        <x:v>1</x:v>
      </x:c>
      <x:c r="X198" s="1" t="str">
        <x:v>GRANTED</x:v>
      </x:c>
      <x:c r="Y198" s="1" t="n">
        <x:f>IF(V198=1,IF(E198="GRANTED",IF(X198="GRANTED",1,0),IF(X198="DENIED",1,0)),0)</x:f>
        <x:v>1</x:v>
      </x:c>
    </x:row>
    <x:row r="199" ht="23" customHeight="1">
      <x:c r="A199" s="9" t="n">
        <x:v>46246.49593762732</x:v>
      </x:c>
      <x:c r="B199" s="1" t="str">
        <x:v>Ana Delos Reyes</x:v>
      </x:c>
      <x:c r="C199" s="1" t="str">
        <x:v>Entry</x:v>
      </x:c>
      <x:c r="D199" s="1" t="str">
        <x:v>HighSecurity</x:v>
      </x:c>
      <x:c r="E199" s="1" t="str">
        <x:v>GRANTED</x:v>
      </x:c>
      <x:c r="F199" s="11" t="n">
        <x:v>10.1335</x:v>
      </x:c>
      <x:c r="G199" s="11" t="n">
        <x:v>4839.8686</x:v>
      </x:c>
      <x:c r="H199" s="11" t="n">
        <x:v>37.5104</x:v>
      </x:c>
      <x:c r="I199" s="11" t="n">
        <x:v>1242.9574</x:v>
      </x:c>
      <x:c r="J199" s="11" t="n">
        <x:v>2.1738</x:v>
      </x:c>
      <x:c r="K199" s="11" t="n">
        <x:v>6082.826</x:v>
      </x:c>
      <x:c r="L199" s="11" t="n">
        <x:v>49.8177</x:v>
      </x:c>
      <x:c r="M199" s="11" t="n">
        <x:v>41.0364</x:v>
      </x:c>
      <x:c r="N199" s="1" t="str">
        <x:v>6898be28591c4e1abe73f83f56b307e4</x:v>
      </x:c>
      <x:c r="O199" s="1" t="str">
        <x:v>Admin Office - 1</x:v>
      </x:c>
      <x:c r="P199" s="1" t="n">
        <x:v>1</x:v>
      </x:c>
      <x:c r="Q199" s="1" t="str">
        <x:v>high_security_mode_logs</x:v>
      </x:c>
      <x:c r="R199" s="1" t="n">
        <x:v>26</x:v>
      </x:c>
      <x:c r="S199" s="1" t="str">
        <x:v>Successful entry</x:v>
      </x:c>
      <x:c r="T199" s="1" t="n">
        <x:v>2</x:v>
      </x:c>
      <x:c r="U199" s="5" t="str"/>
      <x:c r="V199" s="1" t="n">
        <x:v>1</x:v>
      </x:c>
      <x:c r="W199" s="1" t="n">
        <x:v>1</x:v>
      </x:c>
      <x:c r="X199" s="1" t="str">
        <x:v>GRANTED</x:v>
      </x:c>
      <x:c r="Y199" s="1" t="n">
        <x:f>IF(V199=1,IF(E199="GRANTED",IF(X199="GRANTED",1,0),IF(X199="DENIED",1,0)),0)</x:f>
        <x:v>1</x:v>
      </x:c>
    </x:row>
    <x:row r="200" ht="23" customHeight="1">
      <x:c r="A200" s="9" t="n">
        <x:v>46246.49580517361</x:v>
      </x:c>
      <x:c r="B200" s="1" t="str">
        <x:v>Maria Santos</x:v>
      </x:c>
      <x:c r="C200" s="1" t="str">
        <x:v>Entry</x:v>
      </x:c>
      <x:c r="D200" s="1" t="str">
        <x:v>HighSecurity</x:v>
      </x:c>
      <x:c r="E200" s="1" t="str">
        <x:v>GRANTED</x:v>
      </x:c>
      <x:c r="F200" s="11" t="n">
        <x:v>10.906</x:v>
      </x:c>
      <x:c r="G200" s="11" t="n">
        <x:v>1925.7252</x:v>
      </x:c>
      <x:c r="H200" s="11" t="n">
        <x:v>37.7978</x:v>
      </x:c>
      <x:c r="I200" s="11" t="n">
        <x:v>805.6538</x:v>
      </x:c>
      <x:c r="J200" s="11" t="n">
        <x:v>2.2281</x:v>
      </x:c>
      <x:c r="K200" s="11" t="n">
        <x:v>2731.379</x:v>
      </x:c>
      <x:c r="L200" s="11" t="n">
        <x:v>50.9319</x:v>
      </x:c>
      <x:c r="M200" s="11" t="n">
        <x:v>41.2555</x:v>
      </x:c>
      <x:c r="N200" s="1" t="str">
        <x:v>6898be28591c4e1abe73f83f56b307e4</x:v>
      </x:c>
      <x:c r="O200" s="1" t="str">
        <x:v>Admin Office - 1</x:v>
      </x:c>
      <x:c r="P200" s="1" t="n">
        <x:v>1</x:v>
      </x:c>
      <x:c r="Q200" s="1" t="str">
        <x:v>high_security_mode_logs</x:v>
      </x:c>
      <x:c r="R200" s="1" t="n">
        <x:v>27</x:v>
      </x:c>
      <x:c r="S200" s="1" t="str">
        <x:v>Successful entry</x:v>
      </x:c>
      <x:c r="T200" s="1" t="n">
        <x:v>2</x:v>
      </x:c>
      <x:c r="U200" s="5" t="str"/>
      <x:c r="V200" s="1" t="n">
        <x:v>1</x:v>
      </x:c>
      <x:c r="W200" s="1" t="n">
        <x:v>1</x:v>
      </x:c>
      <x:c r="X200" s="1" t="str">
        <x:v>GRANTED</x:v>
      </x:c>
      <x:c r="Y200" s="1" t="n">
        <x:f>IF(V200=1,IF(E200="GRANTED",IF(X200="GRANTED",1,0),IF(X200="DENIED",1,0)),0)</x:f>
        <x:v>1</x:v>
      </x:c>
    </x:row>
    <x:row r="201" ht="23" customHeight="1">
      <x:c r="A201" s="9" t="n">
        <x:v>46246.4957050463</x:v>
      </x:c>
      <x:c r="B201" s="1" t="str">
        <x:v>Maria Clara</x:v>
      </x:c>
      <x:c r="C201" s="1" t="str">
        <x:v>Entry</x:v>
      </x:c>
      <x:c r="D201" s="1" t="str">
        <x:v>HighSecurity</x:v>
      </x:c>
      <x:c r="E201" s="1" t="str">
        <x:v>GRANTED</x:v>
      </x:c>
      <x:c r="F201" s="11" t="n">
        <x:v>12.2478</x:v>
      </x:c>
      <x:c r="G201" s="11" t="n">
        <x:v>2309.9429</x:v>
      </x:c>
      <x:c r="H201" s="11" t="n">
        <x:v>40.3467</x:v>
      </x:c>
      <x:c r="I201" s="11" t="n">
        <x:v>12049.7387</x:v>
      </x:c>
      <x:c r="J201" s="11" t="n">
        <x:v>2.1822</x:v>
      </x:c>
      <x:c r="K201" s="11" t="n">
        <x:v>14359.6816</x:v>
      </x:c>
      <x:c r="L201" s="11" t="n">
        <x:v>54.7767</x:v>
      </x:c>
      <x:c r="M201" s="11" t="n">
        <x:v>43.7519</x:v>
      </x:c>
      <x:c r="N201" s="1" t="str">
        <x:v>6898be28591c4e1abe73f83f56b307e4</x:v>
      </x:c>
      <x:c r="O201" s="1" t="str">
        <x:v>Admin Office - 1</x:v>
      </x:c>
      <x:c r="P201" s="1" t="n">
        <x:v>1</x:v>
      </x:c>
      <x:c r="Q201" s="1" t="str">
        <x:v>high_security_mode_logs</x:v>
      </x:c>
      <x:c r="R201" s="1" t="n">
        <x:v>28</x:v>
      </x:c>
      <x:c r="S201" s="1" t="str">
        <x:v>Successful entry</x:v>
      </x:c>
      <x:c r="T201" s="1" t="n">
        <x:v>2</x:v>
      </x:c>
      <x:c r="U201" s="5" t="str"/>
      <x:c r="V201" s="1" t="n">
        <x:v>1</x:v>
      </x:c>
      <x:c r="W201" s="1" t="n">
        <x:v>1</x:v>
      </x:c>
      <x:c r="X201" s="1" t="str">
        <x:v>GRANTED</x:v>
      </x:c>
      <x:c r="Y201" s="1" t="n">
        <x:f>IF(V201=1,IF(E201="GRANTED",IF(X201="GRANTED",1,0),IF(X201="DENIED",1,0)),0)</x:f>
        <x:v>1</x:v>
      </x:c>
    </x:row>
    <x:row r="202" ht="23" customHeight="1">
      <x:c r="A202" s="9" t="n">
        <x:v>46246.49547040509</x:v>
      </x:c>
      <x:c r="B202" s="1" t="str">
        <x:v>Juana Dela Cruz</x:v>
      </x:c>
      <x:c r="C202" s="1" t="str">
        <x:v>Entry</x:v>
      </x:c>
      <x:c r="D202" s="1" t="str">
        <x:v>HighSecurity</x:v>
      </x:c>
      <x:c r="E202" s="1" t="str">
        <x:v>GRANTED</x:v>
      </x:c>
      <x:c r="F202" s="11" t="n">
        <x:v>10.407</x:v>
      </x:c>
      <x:c r="G202" s="11" t="n">
        <x:v>2419.8375</x:v>
      </x:c>
      <x:c r="H202" s="11" t="n">
        <x:v>37.6135</x:v>
      </x:c>
      <x:c r="I202" s="11" t="n">
        <x:v>1235.6092</x:v>
      </x:c>
      <x:c r="J202" s="11" t="n">
        <x:v>2.311</x:v>
      </x:c>
      <x:c r="K202" s="11" t="n">
        <x:v>3655.4467</x:v>
      </x:c>
      <x:c r="L202" s="11" t="n">
        <x:v>50.3315</x:v>
      </x:c>
      <x:c r="M202" s="11" t="n">
        <x:v>41.2731</x:v>
      </x:c>
      <x:c r="N202" s="1" t="str">
        <x:v>6898be28591c4e1abe73f83f56b307e4</x:v>
      </x:c>
      <x:c r="O202" s="1" t="str">
        <x:v>Admin Office - 1</x:v>
      </x:c>
      <x:c r="P202" s="1" t="n">
        <x:v>1</x:v>
      </x:c>
      <x:c r="Q202" s="1" t="str">
        <x:v>high_security_mode_logs</x:v>
      </x:c>
      <x:c r="R202" s="1" t="n">
        <x:v>29</x:v>
      </x:c>
      <x:c r="S202" s="1" t="str">
        <x:v>Successful entry</x:v>
      </x:c>
      <x:c r="T202" s="1" t="n">
        <x:v>2</x:v>
      </x:c>
      <x:c r="U202" s="5" t="str"/>
      <x:c r="V202" s="1" t="n">
        <x:v>1</x:v>
      </x:c>
      <x:c r="W202" s="1" t="n">
        <x:v>1</x:v>
      </x:c>
      <x:c r="X202" s="1" t="str">
        <x:v>GRANTED</x:v>
      </x:c>
      <x:c r="Y202" s="1" t="n">
        <x:f>IF(V202=1,IF(E202="GRANTED",IF(X202="GRANTED",1,0),IF(X202="DENIED",1,0)),0)</x:f>
        <x:v>1</x:v>
      </x:c>
    </x:row>
    <x:row r="203" ht="23" customHeight="1">
      <x:c r="A203" s="9" t="n">
        <x:v>46246.49536892361</x:v>
      </x:c>
      <x:c r="B203" s="1" t="str">
        <x:v>Maria Dela Cruz</x:v>
      </x:c>
      <x:c r="C203" s="1" t="str">
        <x:v>Entry</x:v>
      </x:c>
      <x:c r="D203" s="1" t="str">
        <x:v>HighSecurity</x:v>
      </x:c>
      <x:c r="E203" s="1" t="str">
        <x:v>GRANTED</x:v>
      </x:c>
      <x:c r="F203" s="11" t="n">
        <x:v>10.6694</x:v>
      </x:c>
      <x:c r="G203" s="11" t="n">
        <x:v>2915.4447</x:v>
      </x:c>
      <x:c r="H203" s="11" t="n">
        <x:v>37.7631</x:v>
      </x:c>
      <x:c r="I203" s="11" t="n">
        <x:v>2828.7711</x:v>
      </x:c>
      <x:c r="J203" s="11" t="n">
        <x:v>2.1948</x:v>
      </x:c>
      <x:c r="K203" s="11" t="n">
        <x:v>5744.2158</x:v>
      </x:c>
      <x:c r="L203" s="11" t="n">
        <x:v>50.6273</x:v>
      </x:c>
      <x:c r="M203" s="11" t="n">
        <x:v>41.0957</x:v>
      </x:c>
      <x:c r="N203" s="1" t="str">
        <x:v>6898be28591c4e1abe73f83f56b307e4</x:v>
      </x:c>
      <x:c r="O203" s="1" t="str">
        <x:v>Admin Office - 1</x:v>
      </x:c>
      <x:c r="P203" s="1" t="n">
        <x:v>1</x:v>
      </x:c>
      <x:c r="Q203" s="1" t="str">
        <x:v>high_security_mode_logs</x:v>
      </x:c>
      <x:c r="R203" s="1" t="n">
        <x:v>30</x:v>
      </x:c>
      <x:c r="S203" s="1" t="str">
        <x:v>Successful entry</x:v>
      </x:c>
      <x:c r="T203" s="1" t="n">
        <x:v>2</x:v>
      </x:c>
      <x:c r="U203" s="5" t="str"/>
      <x:c r="V203" s="1" t="n">
        <x:v>1</x:v>
      </x:c>
      <x:c r="W203" s="1" t="n">
        <x:v>1</x:v>
      </x:c>
      <x:c r="X203" s="1" t="str">
        <x:v>GRANTED</x:v>
      </x:c>
      <x:c r="Y203" s="1" t="n">
        <x:f>IF(V203=1,IF(E203="GRANTED",IF(X203="GRANTED",1,0),IF(X203="DENIED",1,0)),0)</x:f>
        <x:v>1</x:v>
      </x:c>
    </x:row>
    <x:row r="204" ht="23" customHeight="1">
      <x:c r="A204" s="9" t="n">
        <x:v>46246.49524738426</x:v>
      </x:c>
      <x:c r="B204" s="1" t="str">
        <x:v>Basilio Magbanua</x:v>
      </x:c>
      <x:c r="C204" s="1" t="str">
        <x:v>Entry</x:v>
      </x:c>
      <x:c r="D204" s="1" t="str">
        <x:v>HighSecurity</x:v>
      </x:c>
      <x:c r="E204" s="1" t="str">
        <x:v>GRANTED</x:v>
      </x:c>
      <x:c r="F204" s="11" t="n">
        <x:v>11.6177</x:v>
      </x:c>
      <x:c r="G204" s="11" t="n">
        <x:v>4180.8984</x:v>
      </x:c>
      <x:c r="H204" s="11" t="n">
        <x:v>37.5193</x:v>
      </x:c>
      <x:c r="I204" s="11" t="n">
        <x:v>1747.5331</x:v>
      </x:c>
      <x:c r="J204" s="11" t="n">
        <x:v>2.227</x:v>
      </x:c>
      <x:c r="K204" s="11" t="n">
        <x:v>5928.4315</x:v>
      </x:c>
      <x:c r="L204" s="11" t="n">
        <x:v>51.364</x:v>
      </x:c>
      <x:c r="M204" s="11" t="n">
        <x:v>41.1438</x:v>
      </x:c>
      <x:c r="N204" s="1" t="str">
        <x:v>6898be28591c4e1abe73f83f56b307e4</x:v>
      </x:c>
      <x:c r="O204" s="1" t="str">
        <x:v>Admin Office - 1</x:v>
      </x:c>
      <x:c r="P204" s="1" t="n">
        <x:v>1</x:v>
      </x:c>
      <x:c r="Q204" s="1" t="str">
        <x:v>high_security_mode_logs</x:v>
      </x:c>
      <x:c r="R204" s="1" t="n">
        <x:v>31</x:v>
      </x:c>
      <x:c r="S204" s="1" t="str">
        <x:v>Successful entry</x:v>
      </x:c>
      <x:c r="T204" s="1" t="n">
        <x:v>2</x:v>
      </x:c>
      <x:c r="U204" s="5" t="str"/>
      <x:c r="V204" s="1" t="n">
        <x:v>1</x:v>
      </x:c>
      <x:c r="W204" s="1" t="n">
        <x:v>1</x:v>
      </x:c>
      <x:c r="X204" s="1" t="str">
        <x:v>GRANTED</x:v>
      </x:c>
      <x:c r="Y204" s="1" t="n">
        <x:f>IF(V204=1,IF(E204="GRANTED",IF(X204="GRANTED",1,0),IF(X204="DENIED",1,0)),0)</x:f>
        <x:v>1</x:v>
      </x:c>
    </x:row>
    <x:row r="205" ht="23" customHeight="1">
      <x:c r="A205" s="9" t="n">
        <x:v>46246.49511670139</x:v>
      </x:c>
      <x:c r="B205" s="1" t="str">
        <x:v>Bayani Dela Rosa</x:v>
      </x:c>
      <x:c r="C205" s="1" t="str">
        <x:v>Entry</x:v>
      </x:c>
      <x:c r="D205" s="1" t="str">
        <x:v>HighSecurity</x:v>
      </x:c>
      <x:c r="E205" s="1" t="str">
        <x:v>GRANTED</x:v>
      </x:c>
      <x:c r="F205" s="11" t="n">
        <x:v>10.7024</x:v>
      </x:c>
      <x:c r="G205" s="11" t="n">
        <x:v>2034.7491</x:v>
      </x:c>
      <x:c r="H205" s="11" t="n">
        <x:v>39.6051</x:v>
      </x:c>
      <x:c r="I205" s="11" t="n">
        <x:v>1510.2548</x:v>
      </x:c>
      <x:c r="J205" s="11" t="n">
        <x:v>2.602</x:v>
      </x:c>
      <x:c r="K205" s="11" t="n">
        <x:v>3545.0039</x:v>
      </x:c>
      <x:c r="L205" s="11" t="n">
        <x:v>52.9095</x:v>
      </x:c>
      <x:c r="M205" s="11" t="n">
        <x:v>43.4543</x:v>
      </x:c>
      <x:c r="N205" s="1" t="str">
        <x:v>6898be28591c4e1abe73f83f56b307e4</x:v>
      </x:c>
      <x:c r="O205" s="1" t="str">
        <x:v>Admin Office - 1</x:v>
      </x:c>
      <x:c r="P205" s="1" t="n">
        <x:v>1</x:v>
      </x:c>
      <x:c r="Q205" s="1" t="str">
        <x:v>high_security_mode_logs</x:v>
      </x:c>
      <x:c r="R205" s="1" t="n">
        <x:v>32</x:v>
      </x:c>
      <x:c r="S205" s="1" t="str">
        <x:v>Successful entry</x:v>
      </x:c>
      <x:c r="T205" s="1" t="n">
        <x:v>2</x:v>
      </x:c>
      <x:c r="U205" s="5" t="str"/>
      <x:c r="V205" s="1" t="n">
        <x:v>1</x:v>
      </x:c>
      <x:c r="W205" s="1" t="n">
        <x:v>1</x:v>
      </x:c>
      <x:c r="X205" s="1" t="str">
        <x:v>GRANTED</x:v>
      </x:c>
      <x:c r="Y205" s="1" t="n">
        <x:f>IF(V205=1,IF(E205="GRANTED",IF(X205="GRANTED",1,0),IF(X205="DENIED",1,0)),0)</x:f>
        <x:v>1</x:v>
      </x:c>
    </x:row>
    <x:row r="206" ht="23" customHeight="1">
      <x:c r="A206" s="9" t="n">
        <x:v>46246.49501025463</x:v>
      </x:c>
      <x:c r="B206" s="1" t="str">
        <x:v>Jose Mari Bautista</x:v>
      </x:c>
      <x:c r="C206" s="1" t="str">
        <x:v>Entry</x:v>
      </x:c>
      <x:c r="D206" s="1" t="str">
        <x:v>HighSecurity</x:v>
      </x:c>
      <x:c r="E206" s="1" t="str">
        <x:v>GRANTED</x:v>
      </x:c>
      <x:c r="F206" s="11" t="n">
        <x:v>12.0563</x:v>
      </x:c>
      <x:c r="G206" s="11" t="n">
        <x:v>1760.4236</x:v>
      </x:c>
      <x:c r="H206" s="11" t="n">
        <x:v>37.8999</x:v>
      </x:c>
      <x:c r="I206" s="11" t="n">
        <x:v>1124.9408</x:v>
      </x:c>
      <x:c r="J206" s="11" t="n">
        <x:v>2.4887</x:v>
      </x:c>
      <x:c r="K206" s="11" t="n">
        <x:v>2885.3644</x:v>
      </x:c>
      <x:c r="L206" s="11" t="n">
        <x:v>52.4449</x:v>
      </x:c>
      <x:c r="M206" s="11" t="n">
        <x:v>41.9431</x:v>
      </x:c>
      <x:c r="N206" s="1" t="str">
        <x:v>6898be28591c4e1abe73f83f56b307e4</x:v>
      </x:c>
      <x:c r="O206" s="1" t="str">
        <x:v>Admin Office - 1</x:v>
      </x:c>
      <x:c r="P206" s="1" t="n">
        <x:v>1</x:v>
      </x:c>
      <x:c r="Q206" s="1" t="str">
        <x:v>high_security_mode_logs</x:v>
      </x:c>
      <x:c r="R206" s="1" t="n">
        <x:v>33</x:v>
      </x:c>
      <x:c r="S206" s="1" t="str">
        <x:v>Successful entry</x:v>
      </x:c>
      <x:c r="T206" s="1" t="n">
        <x:v>2</x:v>
      </x:c>
      <x:c r="U206" s="5" t="str"/>
      <x:c r="V206" s="1" t="n">
        <x:v>1</x:v>
      </x:c>
      <x:c r="W206" s="1" t="n">
        <x:v>1</x:v>
      </x:c>
      <x:c r="X206" s="1" t="str">
        <x:v>GRANTED</x:v>
      </x:c>
      <x:c r="Y206" s="1" t="n">
        <x:f>IF(V206=1,IF(E206="GRANTED",IF(X206="GRANTED",1,0),IF(X206="DENIED",1,0)),0)</x:f>
        <x:v>1</x:v>
      </x:c>
    </x:row>
    <x:row r="207" ht="23" customHeight="1">
      <x:c r="A207" s="9" t="n">
        <x:v>46246.49491447917</x:v>
      </x:c>
      <x:c r="B207" s="1" t="str">
        <x:v>Angelito Fernandez</x:v>
      </x:c>
      <x:c r="C207" s="1" t="str">
        <x:v>Entry</x:v>
      </x:c>
      <x:c r="D207" s="1" t="str">
        <x:v>HighSecurity</x:v>
      </x:c>
      <x:c r="E207" s="1" t="str">
        <x:v>GRANTED</x:v>
      </x:c>
      <x:c r="F207" s="11" t="n">
        <x:v>12.5161</x:v>
      </x:c>
      <x:c r="G207" s="11" t="n">
        <x:v>2806.34</x:v>
      </x:c>
      <x:c r="H207" s="11" t="n">
        <x:v>43.0387</x:v>
      </x:c>
      <x:c r="I207" s="11" t="n">
        <x:v>2557.3675</x:v>
      </x:c>
      <x:c r="J207" s="11" t="n">
        <x:v>2.888</x:v>
      </x:c>
      <x:c r="K207" s="11" t="n">
        <x:v>5363.7075</x:v>
      </x:c>
      <x:c r="L207" s="11" t="n">
        <x:v>58.4428</x:v>
      </x:c>
      <x:c r="M207" s="11" t="n">
        <x:v>47.0185</x:v>
      </x:c>
      <x:c r="N207" s="1" t="str">
        <x:v>6898be28591c4e1abe73f83f56b307e4</x:v>
      </x:c>
      <x:c r="O207" s="1" t="str">
        <x:v>Admin Office - 1</x:v>
      </x:c>
      <x:c r="P207" s="1" t="n">
        <x:v>1</x:v>
      </x:c>
      <x:c r="Q207" s="1" t="str">
        <x:v>high_security_mode_logs</x:v>
      </x:c>
      <x:c r="R207" s="1" t="n">
        <x:v>34</x:v>
      </x:c>
      <x:c r="S207" s="1" t="str">
        <x:v>Successful entry</x:v>
      </x:c>
      <x:c r="T207" s="1" t="n">
        <x:v>2</x:v>
      </x:c>
      <x:c r="U207" s="5" t="str"/>
      <x:c r="V207" s="1" t="n">
        <x:v>1</x:v>
      </x:c>
      <x:c r="W207" s="1" t="n">
        <x:v>1</x:v>
      </x:c>
      <x:c r="X207" s="1" t="str">
        <x:v>GRANTED</x:v>
      </x:c>
      <x:c r="Y207" s="1" t="n">
        <x:f>IF(V207=1,IF(E207="GRANTED",IF(X207="GRANTED",1,0),IF(X207="DENIED",1,0)),0)</x:f>
        <x:v>1</x:v>
      </x:c>
    </x:row>
    <x:row r="208" ht="23" customHeight="1">
      <x:c r="A208" s="9" t="n">
        <x:v>46246.49476259259</x:v>
      </x:c>
      <x:c r="B208" s="1" t="str">
        <x:v>Roberto Ramos</x:v>
      </x:c>
      <x:c r="C208" s="1" t="str">
        <x:v>Entry</x:v>
      </x:c>
      <x:c r="D208" s="1" t="str">
        <x:v>HighSecurity</x:v>
      </x:c>
      <x:c r="E208" s="1" t="str">
        <x:v>GRANTED</x:v>
      </x:c>
      <x:c r="F208" s="11" t="n">
        <x:v>11.8052</x:v>
      </x:c>
      <x:c r="G208" s="11" t="n">
        <x:v>1814.4472</x:v>
      </x:c>
      <x:c r="H208" s="11" t="n">
        <x:v>42.8249</x:v>
      </x:c>
      <x:c r="I208" s="11" t="n">
        <x:v>2036.8089</x:v>
      </x:c>
      <x:c r="J208" s="11" t="n">
        <x:v>2.1828</x:v>
      </x:c>
      <x:c r="K208" s="11" t="n">
        <x:v>3851.2561</x:v>
      </x:c>
      <x:c r="L208" s="11" t="n">
        <x:v>56.8129</x:v>
      </x:c>
      <x:c r="M208" s="11" t="n">
        <x:v>46.4643</x:v>
      </x:c>
      <x:c r="N208" s="1" t="str">
        <x:v>6898be28591c4e1abe73f83f56b307e4</x:v>
      </x:c>
      <x:c r="O208" s="1" t="str">
        <x:v>Admin Office - 1</x:v>
      </x:c>
      <x:c r="P208" s="1" t="n">
        <x:v>1</x:v>
      </x:c>
      <x:c r="Q208" s="1" t="str">
        <x:v>high_security_mode_logs</x:v>
      </x:c>
      <x:c r="R208" s="1" t="n">
        <x:v>35</x:v>
      </x:c>
      <x:c r="S208" s="1" t="str">
        <x:v>Successful entry</x:v>
      </x:c>
      <x:c r="T208" s="1" t="n">
        <x:v>2</x:v>
      </x:c>
      <x:c r="U208" s="5" t="str"/>
      <x:c r="V208" s="1" t="n">
        <x:v>1</x:v>
      </x:c>
      <x:c r="W208" s="1" t="n">
        <x:v>1</x:v>
      </x:c>
      <x:c r="X208" s="1" t="str">
        <x:v>GRANTED</x:v>
      </x:c>
      <x:c r="Y208" s="1" t="n">
        <x:f>IF(V208=1,IF(E208="GRANTED",IF(X208="GRANTED",1,0),IF(X208="DENIED",1,0)),0)</x:f>
        <x:v>1</x:v>
      </x:c>
    </x:row>
    <x:row r="209" ht="23" customHeight="1">
      <x:c r="A209" s="9" t="n">
        <x:v>46246.49465717592</x:v>
      </x:c>
      <x:c r="B209" s="1" t="str">
        <x:v>Juanito Delos Santos</x:v>
      </x:c>
      <x:c r="C209" s="1" t="str">
        <x:v>Entry</x:v>
      </x:c>
      <x:c r="D209" s="1" t="str">
        <x:v>HighSecurity</x:v>
      </x:c>
      <x:c r="E209" s="1" t="str">
        <x:v>GRANTED</x:v>
      </x:c>
      <x:c r="F209" s="11" t="n">
        <x:v>10.5627</x:v>
      </x:c>
      <x:c r="G209" s="11" t="n">
        <x:v>1924.1624</x:v>
      </x:c>
      <x:c r="H209" s="11" t="n">
        <x:v>38.5987</x:v>
      </x:c>
      <x:c r="I209" s="11" t="n">
        <x:v>839.2146</x:v>
      </x:c>
      <x:c r="J209" s="11" t="n">
        <x:v>2.1683</x:v>
      </x:c>
      <x:c r="K209" s="11" t="n">
        <x:v>2763.377</x:v>
      </x:c>
      <x:c r="L209" s="11" t="n">
        <x:v>51.3297</x:v>
      </x:c>
      <x:c r="M209" s="11" t="n">
        <x:v>42.4425</x:v>
      </x:c>
      <x:c r="N209" s="1" t="str">
        <x:v>6898be28591c4e1abe73f83f56b307e4</x:v>
      </x:c>
      <x:c r="O209" s="1" t="str">
        <x:v>Admin Office - 1</x:v>
      </x:c>
      <x:c r="P209" s="1" t="n">
        <x:v>1</x:v>
      </x:c>
      <x:c r="Q209" s="1" t="str">
        <x:v>high_security_mode_logs</x:v>
      </x:c>
      <x:c r="R209" s="1" t="n">
        <x:v>36</x:v>
      </x:c>
      <x:c r="S209" s="1" t="str">
        <x:v>Successful entry</x:v>
      </x:c>
      <x:c r="T209" s="1" t="n">
        <x:v>2</x:v>
      </x:c>
      <x:c r="U209" s="5" t="str"/>
      <x:c r="V209" s="1" t="n">
        <x:v>1</x:v>
      </x:c>
      <x:c r="W209" s="1" t="n">
        <x:v>1</x:v>
      </x:c>
      <x:c r="X209" s="1" t="str">
        <x:v>GRANTED</x:v>
      </x:c>
      <x:c r="Y209" s="1" t="n">
        <x:f>IF(V209=1,IF(E209="GRANTED",IF(X209="GRANTED",1,0),IF(X209="DENIED",1,0)),0)</x:f>
        <x:v>1</x:v>
      </x:c>
    </x:row>
    <x:row r="210" ht="23" customHeight="1">
      <x:c r="A210" s="9" t="n">
        <x:v>46246.49456334491</x:v>
      </x:c>
      <x:c r="B210" s="1" t="str">
        <x:v>[TEMP] Manuel Mendoza</x:v>
      </x:c>
      <x:c r="C210" s="1" t="str">
        <x:v>Entry</x:v>
      </x:c>
      <x:c r="D210" s="1" t="str">
        <x:v>HighSecurity</x:v>
      </x:c>
      <x:c r="E210" s="1" t="str">
        <x:v>GRANTED</x:v>
      </x:c>
      <x:c r="F210" s="11" t="n">
        <x:v>10.5146</x:v>
      </x:c>
      <x:c r="G210" s="11" t="n">
        <x:v>2365.2108</x:v>
      </x:c>
      <x:c r="H210" s="11" t="n">
        <x:v>39.6395</x:v>
      </x:c>
      <x:c r="I210" s="11" t="n">
        <x:v>808.7504</x:v>
      </x:c>
      <x:c r="J210" s="11" t="n">
        <x:v>2.5582</x:v>
      </x:c>
      <x:c r="K210" s="11" t="n">
        <x:v>3173.9612</x:v>
      </x:c>
      <x:c r="L210" s="11" t="n">
        <x:v>52.7123</x:v>
      </x:c>
      <x:c r="M210" s="11" t="n">
        <x:v>43.5745</x:v>
      </x:c>
      <x:c r="N210" s="1" t="str">
        <x:v>6898be28591c4e1abe73f83f56b307e4</x:v>
      </x:c>
      <x:c r="O210" s="1" t="str">
        <x:v>Admin Office - 1</x:v>
      </x:c>
      <x:c r="P210" s="1" t="n">
        <x:v>1</x:v>
      </x:c>
      <x:c r="Q210" s="1" t="str">
        <x:v>high_security_mode_logs</x:v>
      </x:c>
      <x:c r="R210" s="1" t="n">
        <x:v>37</x:v>
      </x:c>
      <x:c r="S210" s="1" t="str">
        <x:v>Successful entry</x:v>
      </x:c>
      <x:c r="T210" s="1" t="n">
        <x:v>2</x:v>
      </x:c>
      <x:c r="U210" s="5" t="str"/>
      <x:c r="V210" s="1" t="n">
        <x:v>1</x:v>
      </x:c>
      <x:c r="W210" s="1" t="n">
        <x:v>1</x:v>
      </x:c>
      <x:c r="X210" s="1" t="str">
        <x:v>GRANTED</x:v>
      </x:c>
      <x:c r="Y210" s="1" t="n">
        <x:f>IF(V210=1,IF(E210="GRANTED",IF(X210="GRANTED",1,0),IF(X210="DENIED",1,0)),0)</x:f>
        <x:v>1</x:v>
      </x:c>
    </x:row>
    <x:row r="211" ht="23" customHeight="1">
      <x:c r="A211" s="9" t="n">
        <x:v>46246.49446887731</x:v>
      </x:c>
      <x:c r="B211" s="1" t="str">
        <x:v>Francisco Garcia</x:v>
      </x:c>
      <x:c r="C211" s="1" t="str">
        <x:v>Entry</x:v>
      </x:c>
      <x:c r="D211" s="1" t="str">
        <x:v>HighSecurity</x:v>
      </x:c>
      <x:c r="E211" s="1" t="str">
        <x:v>GRANTED</x:v>
      </x:c>
      <x:c r="F211" s="11" t="n">
        <x:v>11.0434</x:v>
      </x:c>
      <x:c r="G211" s="11" t="n">
        <x:v>1815.0758</x:v>
      </x:c>
      <x:c r="H211" s="11" t="n">
        <x:v>39.0855</x:v>
      </x:c>
      <x:c r="I211" s="11" t="n">
        <x:v>1369.7825</x:v>
      </x:c>
      <x:c r="J211" s="11" t="n">
        <x:v>2.4337</x:v>
      </x:c>
      <x:c r="K211" s="11" t="n">
        <x:v>3184.8583</x:v>
      </x:c>
      <x:c r="L211" s="11" t="n">
        <x:v>52.5626</x:v>
      </x:c>
      <x:c r="M211" s="11" t="n">
        <x:v>42.7731</x:v>
      </x:c>
      <x:c r="N211" s="1" t="str">
        <x:v>6898be28591c4e1abe73f83f56b307e4</x:v>
      </x:c>
      <x:c r="O211" s="1" t="str">
        <x:v>Admin Office - 1</x:v>
      </x:c>
      <x:c r="P211" s="1" t="n">
        <x:v>1</x:v>
      </x:c>
      <x:c r="Q211" s="1" t="str">
        <x:v>high_security_mode_logs</x:v>
      </x:c>
      <x:c r="R211" s="1" t="n">
        <x:v>38</x:v>
      </x:c>
      <x:c r="S211" s="1" t="str">
        <x:v>Successful entry</x:v>
      </x:c>
      <x:c r="T211" s="1" t="n">
        <x:v>2</x:v>
      </x:c>
      <x:c r="U211" s="5" t="str"/>
      <x:c r="V211" s="1" t="n">
        <x:v>1</x:v>
      </x:c>
      <x:c r="W211" s="1" t="n">
        <x:v>1</x:v>
      </x:c>
      <x:c r="X211" s="1" t="str">
        <x:v>GRANTED</x:v>
      </x:c>
      <x:c r="Y211" s="1" t="n">
        <x:f>IF(V211=1,IF(E211="GRANTED",IF(X211="GRANTED",1,0),IF(X211="DENIED",1,0)),0)</x:f>
        <x:v>1</x:v>
      </x:c>
    </x:row>
    <x:row r="212" ht="23" customHeight="1">
      <x:c r="A212" s="9" t="n">
        <x:v>46246.494368009255</x:v>
      </x:c>
      <x:c r="B212" s="1" t="str">
        <x:v>[TEMP] Pedro Reyes</x:v>
      </x:c>
      <x:c r="C212" s="1" t="str">
        <x:v>Entry</x:v>
      </x:c>
      <x:c r="D212" s="1" t="str">
        <x:v>HighSecurity</x:v>
      </x:c>
      <x:c r="E212" s="1" t="str">
        <x:v>GRANTED</x:v>
      </x:c>
      <x:c r="F212" s="11" t="n">
        <x:v>11.4144</x:v>
      </x:c>
      <x:c r="G212" s="11" t="n">
        <x:v>1540.161</x:v>
      </x:c>
      <x:c r="H212" s="11" t="n">
        <x:v>39.1916</x:v>
      </x:c>
      <x:c r="I212" s="11" t="n">
        <x:v>1109.2793</x:v>
      </x:c>
      <x:c r="J212" s="11" t="n">
        <x:v>2.1392</x:v>
      </x:c>
      <x:c r="K212" s="11" t="n">
        <x:v>2649.4403</x:v>
      </x:c>
      <x:c r="L212" s="11" t="n">
        <x:v>52.7452</x:v>
      </x:c>
      <x:c r="M212" s="11" t="n">
        <x:v>42.8213</x:v>
      </x:c>
      <x:c r="N212" s="1" t="str">
        <x:v>6898be28591c4e1abe73f83f56b307e4</x:v>
      </x:c>
      <x:c r="O212" s="1" t="str">
        <x:v>Admin Office - 1</x:v>
      </x:c>
      <x:c r="P212" s="1" t="n">
        <x:v>1</x:v>
      </x:c>
      <x:c r="Q212" s="1" t="str">
        <x:v>high_security_mode_logs</x:v>
      </x:c>
      <x:c r="R212" s="1" t="n">
        <x:v>39</x:v>
      </x:c>
      <x:c r="S212" s="1" t="str">
        <x:v>Successful entry</x:v>
      </x:c>
      <x:c r="T212" s="1" t="n">
        <x:v>2</x:v>
      </x:c>
      <x:c r="U212" s="5" t="str"/>
      <x:c r="V212" s="1" t="n">
        <x:v>1</x:v>
      </x:c>
      <x:c r="W212" s="1" t="n">
        <x:v>1</x:v>
      </x:c>
      <x:c r="X212" s="1" t="str">
        <x:v>GRANTED</x:v>
      </x:c>
      <x:c r="Y212" s="1" t="n">
        <x:f>IF(V212=1,IF(E212="GRANTED",IF(X212="GRANTED",1,0),IF(X212="DENIED",1,0)),0)</x:f>
        <x:v>1</x:v>
      </x:c>
    </x:row>
    <x:row r="213" ht="23" customHeight="1">
      <x:c r="A213" s="9" t="n">
        <x:v>46246.49427019676</x:v>
      </x:c>
      <x:c r="B213" s="1" t="str">
        <x:v>[TEMP] Jose Santos</x:v>
      </x:c>
      <x:c r="C213" s="1" t="str">
        <x:v>Entry</x:v>
      </x:c>
      <x:c r="D213" s="1" t="str">
        <x:v>HighSecurity</x:v>
      </x:c>
      <x:c r="E213" s="1" t="str">
        <x:v>GRANTED</x:v>
      </x:c>
      <x:c r="F213" s="11" t="n">
        <x:v>12.3779</x:v>
      </x:c>
      <x:c r="G213" s="11" t="n">
        <x:v>1650.0844</x:v>
      </x:c>
      <x:c r="H213" s="11" t="n">
        <x:v>39.3899</x:v>
      </x:c>
      <x:c r="I213" s="11" t="n">
        <x:v>1247.2888</x:v>
      </x:c>
      <x:c r="J213" s="11" t="n">
        <x:v>2.3</x:v>
      </x:c>
      <x:c r="K213" s="11" t="n">
        <x:v>2897.3732</x:v>
      </x:c>
      <x:c r="L213" s="11" t="n">
        <x:v>54.0678</x:v>
      </x:c>
      <x:c r="M213" s="11" t="n">
        <x:v>43.1331</x:v>
      </x:c>
      <x:c r="N213" s="1" t="str">
        <x:v>6898be28591c4e1abe73f83f56b307e4</x:v>
      </x:c>
      <x:c r="O213" s="1" t="str">
        <x:v>Admin Office - 1</x:v>
      </x:c>
      <x:c r="P213" s="1" t="n">
        <x:v>1</x:v>
      </x:c>
      <x:c r="Q213" s="1" t="str">
        <x:v>high_security_mode_logs</x:v>
      </x:c>
      <x:c r="R213" s="1" t="n">
        <x:v>40</x:v>
      </x:c>
      <x:c r="S213" s="1" t="str">
        <x:v>Successful entry</x:v>
      </x:c>
      <x:c r="T213" s="1" t="n">
        <x:v>2</x:v>
      </x:c>
      <x:c r="U213" s="5" t="str"/>
      <x:c r="V213" s="1" t="n">
        <x:v>1</x:v>
      </x:c>
      <x:c r="W213" s="1" t="n">
        <x:v>1</x:v>
      </x:c>
      <x:c r="X213" s="1" t="str">
        <x:v>GRANTED</x:v>
      </x:c>
      <x:c r="Y213" s="1" t="n">
        <x:f>IF(V213=1,IF(E213="GRANTED",IF(X213="GRANTED",1,0),IF(X213="DENIED",1,0)),0)</x:f>
        <x:v>1</x:v>
      </x:c>
    </x:row>
    <x:row r="214" ht="23" customHeight="1">
      <x:c r="A214" s="9" t="n">
        <x:v>46246.49416393519</x:v>
      </x:c>
      <x:c r="B214" s="1" t="str">
        <x:v>[TEMP] Juan Dela Cruz</x:v>
      </x:c>
      <x:c r="C214" s="1" t="str">
        <x:v>Entry</x:v>
      </x:c>
      <x:c r="D214" s="1" t="str">
        <x:v>HighSecurity</x:v>
      </x:c>
      <x:c r="E214" s="1" t="str">
        <x:v>GRANTED</x:v>
      </x:c>
      <x:c r="F214" s="11" t="n">
        <x:v>9.1249</x:v>
      </x:c>
      <x:c r="G214" s="11" t="n">
        <x:v>2090.1684</x:v>
      </x:c>
      <x:c r="H214" s="11" t="n">
        <x:v>45.5822</x:v>
      </x:c>
      <x:c r="I214" s="11" t="n">
        <x:v>1790.5724</x:v>
      </x:c>
      <x:c r="J214" s="11" t="n">
        <x:v>2.539</x:v>
      </x:c>
      <x:c r="K214" s="11" t="n">
        <x:v>3880.7408</x:v>
      </x:c>
      <x:c r="L214" s="11" t="n">
        <x:v>57.2461</x:v>
      </x:c>
      <x:c r="M214" s="11" t="n">
        <x:v>47.1166</x:v>
      </x:c>
      <x:c r="N214" s="1" t="str">
        <x:v>6898be28591c4e1abe73f83f56b307e4</x:v>
      </x:c>
      <x:c r="O214" s="1" t="str">
        <x:v>Admin Office - 1</x:v>
      </x:c>
      <x:c r="P214" s="1" t="n">
        <x:v>1</x:v>
      </x:c>
      <x:c r="Q214" s="1" t="str">
        <x:v>high_security_mode_logs</x:v>
      </x:c>
      <x:c r="R214" s="1" t="n">
        <x:v>41</x:v>
      </x:c>
      <x:c r="S214" s="1" t="str">
        <x:v>Successful entry</x:v>
      </x:c>
      <x:c r="T214" s="1" t="n">
        <x:v>2</x:v>
      </x:c>
      <x:c r="U214" s="5" t="str"/>
      <x:c r="V214" s="1" t="n">
        <x:v>1</x:v>
      </x:c>
      <x:c r="W214" s="1" t="n">
        <x:v>1</x:v>
      </x:c>
      <x:c r="X214" s="1" t="str">
        <x:v>GRANTED</x:v>
      </x:c>
      <x:c r="Y214" s="1" t="n">
        <x:f>IF(V214=1,IF(E214="GRANTED",IF(X214="GRANTED",1,0),IF(X214="DENIED",1,0)),0)</x:f>
        <x:v>1</x:v>
      </x:c>
    </x:row>
    <x:row r="215" ht="23" customHeight="1">
      <x:c r="A215" s="9" t="n">
        <x:v>46246.49385591435</x:v>
      </x:c>
      <x:c r="B215" s="1" t="str">
        <x:v>Pedro Penduko</x:v>
      </x:c>
      <x:c r="C215" s="1" t="str">
        <x:v>Exit</x:v>
      </x:c>
      <x:c r="D215" s="1" t="str">
        <x:v>HighSecurity</x:v>
      </x:c>
      <x:c r="E215" s="1" t="str">
        <x:v>GRANTED</x:v>
      </x:c>
      <x:c r="F215" s="11" t="n">
        <x:v>11.98</x:v>
      </x:c>
      <x:c r="G215" s="11" t="str">
        <x:v>N/A (Bypassed)</x:v>
      </x:c>
      <x:c r="H215" s="11" t="str">
        <x:v>N/A (Bypassed)</x:v>
      </x:c>
      <x:c r="I215" s="11" t="str">
        <x:v>N/A (Bypassed)</x:v>
      </x:c>
      <x:c r="J215" s="11" t="str">
        <x:v>N/A (Bypassed)</x:v>
      </x:c>
      <x:c r="K215" s="11" t="str">
        <x:v>N/A</x:v>
      </x:c>
      <x:c r="L215" s="11" t="n">
        <x:v>11.98</x:v>
      </x:c>
      <x:c r="M215" s="11" t="n">
        <x:v>2.8607</x:v>
      </x:c>
      <x:c r="N215" s="1" t="str">
        <x:v>6898be28591c4e1abe73f83f56b307e4</x:v>
      </x:c>
      <x:c r="O215" s="1" t="str">
        <x:v>Admin Office - 1</x:v>
      </x:c>
      <x:c r="P215" s="1" t="n">
        <x:v>1</x:v>
      </x:c>
      <x:c r="Q215" s="1" t="str">
        <x:v>high_security_mode_logs</x:v>
      </x:c>
      <x:c r="R215" s="1" t="n">
        <x:v>42</x:v>
      </x:c>
      <x:c r="S215" s="1" t="str">
        <x:v>Reset exit</x:v>
      </x:c>
      <x:c r="T215" s="1"/>
      <x:c r="U215" s="5" t="str"/>
      <x:c r="V215" s="1" t="n">
        <x:v>0</x:v>
      </x:c>
      <x:c r="W215" s="1" t="n">
        <x:v>0</x:v>
      </x:c>
      <x:c r="X215" s="1" t="str">
        <x:v>Not applicable</x:v>
      </x:c>
      <x:c r="Y215" s="1" t="n">
        <x:f>IF(V215=1,IF(E215="GRANTED",IF(X215="GRANTED",1,0),IF(X215="DENIED",1,0)),0)</x:f>
        <x:v>0</x:v>
      </x:c>
    </x:row>
    <x:row r="216" ht="23" customHeight="1">
      <x:c r="A216" s="9" t="n">
        <x:v>46246.493836678244</x:v>
      </x:c>
      <x:c r="B216" s="1" t="str">
        <x:v>Juan Tamad</x:v>
      </x:c>
      <x:c r="C216" s="1" t="str">
        <x:v>Exit</x:v>
      </x:c>
      <x:c r="D216" s="1" t="str">
        <x:v>HighSecurity</x:v>
      </x:c>
      <x:c r="E216" s="1" t="str">
        <x:v>GRANTED</x:v>
      </x:c>
      <x:c r="F216" s="11" t="n">
        <x:v>11.5624</x:v>
      </x:c>
      <x:c r="G216" s="11" t="str">
        <x:v>N/A (Bypassed)</x:v>
      </x:c>
      <x:c r="H216" s="11" t="str">
        <x:v>N/A (Bypassed)</x:v>
      </x:c>
      <x:c r="I216" s="11" t="str">
        <x:v>N/A (Bypassed)</x:v>
      </x:c>
      <x:c r="J216" s="11" t="str">
        <x:v>N/A (Bypassed)</x:v>
      </x:c>
      <x:c r="K216" s="11" t="str">
        <x:v>N/A</x:v>
      </x:c>
      <x:c r="L216" s="11" t="n">
        <x:v>11.5624</x:v>
      </x:c>
      <x:c r="M216" s="11" t="n">
        <x:v>2.9418</x:v>
      </x:c>
      <x:c r="N216" s="1" t="str">
        <x:v>6898be28591c4e1abe73f83f56b307e4</x:v>
      </x:c>
      <x:c r="O216" s="1" t="str">
        <x:v>Admin Office - 1</x:v>
      </x:c>
      <x:c r="P216" s="1" t="n">
        <x:v>1</x:v>
      </x:c>
      <x:c r="Q216" s="1" t="str">
        <x:v>high_security_mode_logs</x:v>
      </x:c>
      <x:c r="R216" s="1" t="n">
        <x:v>43</x:v>
      </x:c>
      <x:c r="S216" s="1" t="str">
        <x:v>Reset exit</x:v>
      </x:c>
      <x:c r="T216" s="1"/>
      <x:c r="U216" s="5" t="str"/>
      <x:c r="V216" s="1" t="n">
        <x:v>0</x:v>
      </x:c>
      <x:c r="W216" s="1" t="n">
        <x:v>0</x:v>
      </x:c>
      <x:c r="X216" s="1" t="str">
        <x:v>Not applicable</x:v>
      </x:c>
      <x:c r="Y216" s="1" t="n">
        <x:f>IF(V216=1,IF(E216="GRANTED",IF(X216="GRANTED",1,0),IF(X216="DENIED",1,0)),0)</x:f>
        <x:v>0</x:v>
      </x:c>
    </x:row>
    <x:row r="217" ht="23" customHeight="1">
      <x:c r="A217" s="9" t="n">
        <x:v>46246.493818310184</x:v>
      </x:c>
      <x:c r="B217" s="1" t="str">
        <x:v>Luningning Santos</x:v>
      </x:c>
      <x:c r="C217" s="1" t="str">
        <x:v>Exit</x:v>
      </x:c>
      <x:c r="D217" s="1" t="str">
        <x:v>HighSecurity</x:v>
      </x:c>
      <x:c r="E217" s="1" t="str">
        <x:v>GRANTED</x:v>
      </x:c>
      <x:c r="F217" s="11" t="n">
        <x:v>12.4996</x:v>
      </x:c>
      <x:c r="G217" s="11" t="str">
        <x:v>N/A (Bypassed)</x:v>
      </x:c>
      <x:c r="H217" s="11" t="str">
        <x:v>N/A (Bypassed)</x:v>
      </x:c>
      <x:c r="I217" s="11" t="str">
        <x:v>N/A (Bypassed)</x:v>
      </x:c>
      <x:c r="J217" s="11" t="str">
        <x:v>N/A (Bypassed)</x:v>
      </x:c>
      <x:c r="K217" s="11" t="str">
        <x:v>N/A</x:v>
      </x:c>
      <x:c r="L217" s="11" t="n">
        <x:v>12.4996</x:v>
      </x:c>
      <x:c r="M217" s="11" t="n">
        <x:v>3.0847</x:v>
      </x:c>
      <x:c r="N217" s="1" t="str">
        <x:v>6898be28591c4e1abe73f83f56b307e4</x:v>
      </x:c>
      <x:c r="O217" s="1" t="str">
        <x:v>Admin Office - 1</x:v>
      </x:c>
      <x:c r="P217" s="1" t="n">
        <x:v>1</x:v>
      </x:c>
      <x:c r="Q217" s="1" t="str">
        <x:v>high_security_mode_logs</x:v>
      </x:c>
      <x:c r="R217" s="1" t="n">
        <x:v>44</x:v>
      </x:c>
      <x:c r="S217" s="1" t="str">
        <x:v>Reset exit</x:v>
      </x:c>
      <x:c r="T217" s="1"/>
      <x:c r="U217" s="5" t="str"/>
      <x:c r="V217" s="1" t="n">
        <x:v>0</x:v>
      </x:c>
      <x:c r="W217" s="1" t="n">
        <x:v>0</x:v>
      </x:c>
      <x:c r="X217" s="1" t="str">
        <x:v>Not applicable</x:v>
      </x:c>
      <x:c r="Y217" s="1" t="n">
        <x:f>IF(V217=1,IF(E217="GRANTED",IF(X217="GRANTED",1,0),IF(X217="DENIED",1,0)),0)</x:f>
        <x:v>0</x:v>
      </x:c>
    </x:row>
    <x:row r="218" ht="23" customHeight="1">
      <x:c r="A218" s="9" t="n">
        <x:v>46246.49380069444</x:v>
      </x:c>
      <x:c r="B218" s="1" t="str">
        <x:v>Teresita Gonzales</x:v>
      </x:c>
      <x:c r="C218" s="1" t="str">
        <x:v>Exit</x:v>
      </x:c>
      <x:c r="D218" s="1" t="str">
        <x:v>HighSecurity</x:v>
      </x:c>
      <x:c r="E218" s="1" t="str">
        <x:v>GRANTED</x:v>
      </x:c>
      <x:c r="F218" s="11" t="n">
        <x:v>11.8287</x:v>
      </x:c>
      <x:c r="G218" s="11" t="str">
        <x:v>N/A (Bypassed)</x:v>
      </x:c>
      <x:c r="H218" s="11" t="str">
        <x:v>N/A (Bypassed)</x:v>
      </x:c>
      <x:c r="I218" s="11" t="str">
        <x:v>N/A (Bypassed)</x:v>
      </x:c>
      <x:c r="J218" s="11" t="str">
        <x:v>N/A (Bypassed)</x:v>
      </x:c>
      <x:c r="K218" s="11" t="str">
        <x:v>N/A</x:v>
      </x:c>
      <x:c r="L218" s="11" t="n">
        <x:v>11.8287</x:v>
      </x:c>
      <x:c r="M218" s="11" t="n">
        <x:v>4.0899</x:v>
      </x:c>
      <x:c r="N218" s="1" t="str">
        <x:v>6898be28591c4e1abe73f83f56b307e4</x:v>
      </x:c>
      <x:c r="O218" s="1" t="str">
        <x:v>Admin Office - 1</x:v>
      </x:c>
      <x:c r="P218" s="1" t="n">
        <x:v>1</x:v>
      </x:c>
      <x:c r="Q218" s="1" t="str">
        <x:v>high_security_mode_logs</x:v>
      </x:c>
      <x:c r="R218" s="1" t="n">
        <x:v>45</x:v>
      </x:c>
      <x:c r="S218" s="1" t="str">
        <x:v>Reset exit</x:v>
      </x:c>
      <x:c r="T218" s="1"/>
      <x:c r="U218" s="5" t="str"/>
      <x:c r="V218" s="1" t="n">
        <x:v>0</x:v>
      </x:c>
      <x:c r="W218" s="1" t="n">
        <x:v>0</x:v>
      </x:c>
      <x:c r="X218" s="1" t="str">
        <x:v>Not applicable</x:v>
      </x:c>
      <x:c r="Y218" s="1" t="n">
        <x:f>IF(V218=1,IF(E218="GRANTED",IF(X218="GRANTED",1,0),IF(X218="DENIED",1,0)),0)</x:f>
        <x:v>0</x:v>
      </x:c>
    </x:row>
    <x:row r="219" ht="23" customHeight="1">
      <x:c r="A219" s="9" t="n">
        <x:v>46246.493780289355</x:v>
      </x:c>
      <x:c r="B219" s="1" t="str">
        <x:v>Ana Delos Reyes</x:v>
      </x:c>
      <x:c r="C219" s="1" t="str">
        <x:v>Exit</x:v>
      </x:c>
      <x:c r="D219" s="1" t="str">
        <x:v>HighSecurity</x:v>
      </x:c>
      <x:c r="E219" s="1" t="str">
        <x:v>GRANTED</x:v>
      </x:c>
      <x:c r="F219" s="11" t="n">
        <x:v>11.4084</x:v>
      </x:c>
      <x:c r="G219" s="11" t="str">
        <x:v>N/A (Bypassed)</x:v>
      </x:c>
      <x:c r="H219" s="11" t="str">
        <x:v>N/A (Bypassed)</x:v>
      </x:c>
      <x:c r="I219" s="11" t="str">
        <x:v>N/A (Bypassed)</x:v>
      </x:c>
      <x:c r="J219" s="11" t="str">
        <x:v>N/A (Bypassed)</x:v>
      </x:c>
      <x:c r="K219" s="11" t="str">
        <x:v>N/A</x:v>
      </x:c>
      <x:c r="L219" s="11" t="n">
        <x:v>11.4084</x:v>
      </x:c>
      <x:c r="M219" s="11" t="n">
        <x:v>4.0286</x:v>
      </x:c>
      <x:c r="N219" s="1" t="str">
        <x:v>6898be28591c4e1abe73f83f56b307e4</x:v>
      </x:c>
      <x:c r="O219" s="1" t="str">
        <x:v>Admin Office - 1</x:v>
      </x:c>
      <x:c r="P219" s="1" t="n">
        <x:v>1</x:v>
      </x:c>
      <x:c r="Q219" s="1" t="str">
        <x:v>high_security_mode_logs</x:v>
      </x:c>
      <x:c r="R219" s="1" t="n">
        <x:v>46</x:v>
      </x:c>
      <x:c r="S219" s="1" t="str">
        <x:v>Reset exit</x:v>
      </x:c>
      <x:c r="T219" s="1"/>
      <x:c r="U219" s="5" t="str"/>
      <x:c r="V219" s="1" t="n">
        <x:v>0</x:v>
      </x:c>
      <x:c r="W219" s="1" t="n">
        <x:v>0</x:v>
      </x:c>
      <x:c r="X219" s="1" t="str">
        <x:v>Not applicable</x:v>
      </x:c>
      <x:c r="Y219" s="1" t="n">
        <x:f>IF(V219=1,IF(E219="GRANTED",IF(X219="GRANTED",1,0),IF(X219="DENIED",1,0)),0)</x:f>
        <x:v>0</x:v>
      </x:c>
    </x:row>
    <x:row r="220" ht="23" customHeight="1">
      <x:c r="A220" s="9" t="n">
        <x:v>46246.49375047453</x:v>
      </x:c>
      <x:c r="B220" s="1" t="str">
        <x:v>Maria Santos</x:v>
      </x:c>
      <x:c r="C220" s="1" t="str">
        <x:v>Exit</x:v>
      </x:c>
      <x:c r="D220" s="1" t="str">
        <x:v>HighSecurity</x:v>
      </x:c>
      <x:c r="E220" s="1" t="str">
        <x:v>GRANTED</x:v>
      </x:c>
      <x:c r="F220" s="11" t="n">
        <x:v>11.7303</x:v>
      </x:c>
      <x:c r="G220" s="11" t="str">
        <x:v>N/A (Bypassed)</x:v>
      </x:c>
      <x:c r="H220" s="11" t="str">
        <x:v>N/A (Bypassed)</x:v>
      </x:c>
      <x:c r="I220" s="11" t="str">
        <x:v>N/A (Bypassed)</x:v>
      </x:c>
      <x:c r="J220" s="11" t="str">
        <x:v>N/A (Bypassed)</x:v>
      </x:c>
      <x:c r="K220" s="11" t="str">
        <x:v>N/A</x:v>
      </x:c>
      <x:c r="L220" s="11" t="n">
        <x:v>11.7303</x:v>
      </x:c>
      <x:c r="M220" s="11" t="n">
        <x:v>3.2558</x:v>
      </x:c>
      <x:c r="N220" s="1" t="str">
        <x:v>6898be28591c4e1abe73f83f56b307e4</x:v>
      </x:c>
      <x:c r="O220" s="1" t="str">
        <x:v>Admin Office - 1</x:v>
      </x:c>
      <x:c r="P220" s="1" t="n">
        <x:v>1</x:v>
      </x:c>
      <x:c r="Q220" s="1" t="str">
        <x:v>high_security_mode_logs</x:v>
      </x:c>
      <x:c r="R220" s="1" t="n">
        <x:v>47</x:v>
      </x:c>
      <x:c r="S220" s="1" t="str">
        <x:v>Reset exit</x:v>
      </x:c>
      <x:c r="T220" s="1"/>
      <x:c r="U220" s="5" t="str"/>
      <x:c r="V220" s="1" t="n">
        <x:v>0</x:v>
      </x:c>
      <x:c r="W220" s="1" t="n">
        <x:v>0</x:v>
      </x:c>
      <x:c r="X220" s="1" t="str">
        <x:v>Not applicable</x:v>
      </x:c>
      <x:c r="Y220" s="1" t="n">
        <x:f>IF(V220=1,IF(E220="GRANTED",IF(X220="GRANTED",1,0),IF(X220="DENIED",1,0)),0)</x:f>
        <x:v>0</x:v>
      </x:c>
    </x:row>
    <x:row r="221" ht="23" customHeight="1">
      <x:c r="A221" s="9" t="n">
        <x:v>46246.49373094908</x:v>
      </x:c>
      <x:c r="B221" s="1" t="str">
        <x:v>Maria Clara</x:v>
      </x:c>
      <x:c r="C221" s="1" t="str">
        <x:v>Exit</x:v>
      </x:c>
      <x:c r="D221" s="1" t="str">
        <x:v>HighSecurity</x:v>
      </x:c>
      <x:c r="E221" s="1" t="str">
        <x:v>GRANTED</x:v>
      </x:c>
      <x:c r="F221" s="11" t="n">
        <x:v>11.6207</x:v>
      </x:c>
      <x:c r="G221" s="11" t="str">
        <x:v>N/A (Bypassed)</x:v>
      </x:c>
      <x:c r="H221" s="11" t="str">
        <x:v>N/A (Bypassed)</x:v>
      </x:c>
      <x:c r="I221" s="11" t="str">
        <x:v>N/A (Bypassed)</x:v>
      </x:c>
      <x:c r="J221" s="11" t="str">
        <x:v>N/A (Bypassed)</x:v>
      </x:c>
      <x:c r="K221" s="11" t="str">
        <x:v>N/A</x:v>
      </x:c>
      <x:c r="L221" s="11" t="n">
        <x:v>11.6207</x:v>
      </x:c>
      <x:c r="M221" s="11" t="n">
        <x:v>3.8632</x:v>
      </x:c>
      <x:c r="N221" s="1" t="str">
        <x:v>6898be28591c4e1abe73f83f56b307e4</x:v>
      </x:c>
      <x:c r="O221" s="1" t="str">
        <x:v>Admin Office - 1</x:v>
      </x:c>
      <x:c r="P221" s="1" t="n">
        <x:v>1</x:v>
      </x:c>
      <x:c r="Q221" s="1" t="str">
        <x:v>high_security_mode_logs</x:v>
      </x:c>
      <x:c r="R221" s="1" t="n">
        <x:v>48</x:v>
      </x:c>
      <x:c r="S221" s="1" t="str">
        <x:v>Reset exit</x:v>
      </x:c>
      <x:c r="T221" s="1"/>
      <x:c r="U221" s="5" t="str"/>
      <x:c r="V221" s="1" t="n">
        <x:v>0</x:v>
      </x:c>
      <x:c r="W221" s="1" t="n">
        <x:v>0</x:v>
      </x:c>
      <x:c r="X221" s="1" t="str">
        <x:v>Not applicable</x:v>
      </x:c>
      <x:c r="Y221" s="1" t="n">
        <x:f>IF(V221=1,IF(E221="GRANTED",IF(X221="GRANTED",1,0),IF(X221="DENIED",1,0)),0)</x:f>
        <x:v>0</x:v>
      </x:c>
    </x:row>
    <x:row r="222" ht="23" customHeight="1">
      <x:c r="A222" s="9" t="n">
        <x:v>46246.49371372686</x:v>
      </x:c>
      <x:c r="B222" s="1" t="str">
        <x:v>Juana Dela Cruz</x:v>
      </x:c>
      <x:c r="C222" s="1" t="str">
        <x:v>Exit</x:v>
      </x:c>
      <x:c r="D222" s="1" t="str">
        <x:v>HighSecurity</x:v>
      </x:c>
      <x:c r="E222" s="1" t="str">
        <x:v>GRANTED</x:v>
      </x:c>
      <x:c r="F222" s="11" t="n">
        <x:v>11.7763</x:v>
      </x:c>
      <x:c r="G222" s="11" t="str">
        <x:v>N/A (Bypassed)</x:v>
      </x:c>
      <x:c r="H222" s="11" t="str">
        <x:v>N/A (Bypassed)</x:v>
      </x:c>
      <x:c r="I222" s="11" t="str">
        <x:v>N/A (Bypassed)</x:v>
      </x:c>
      <x:c r="J222" s="11" t="str">
        <x:v>N/A (Bypassed)</x:v>
      </x:c>
      <x:c r="K222" s="11" t="str">
        <x:v>N/A</x:v>
      </x:c>
      <x:c r="L222" s="11" t="n">
        <x:v>11.7763</x:v>
      </x:c>
      <x:c r="M222" s="11" t="n">
        <x:v>2.7862</x:v>
      </x:c>
      <x:c r="N222" s="1" t="str">
        <x:v>6898be28591c4e1abe73f83f56b307e4</x:v>
      </x:c>
      <x:c r="O222" s="1" t="str">
        <x:v>Admin Office - 1</x:v>
      </x:c>
      <x:c r="P222" s="1" t="n">
        <x:v>1</x:v>
      </x:c>
      <x:c r="Q222" s="1" t="str">
        <x:v>high_security_mode_logs</x:v>
      </x:c>
      <x:c r="R222" s="1" t="n">
        <x:v>49</x:v>
      </x:c>
      <x:c r="S222" s="1" t="str">
        <x:v>Reset exit</x:v>
      </x:c>
      <x:c r="T222" s="1"/>
      <x:c r="U222" s="5" t="str"/>
      <x:c r="V222" s="1" t="n">
        <x:v>0</x:v>
      </x:c>
      <x:c r="W222" s="1" t="n">
        <x:v>0</x:v>
      </x:c>
      <x:c r="X222" s="1" t="str">
        <x:v>Not applicable</x:v>
      </x:c>
      <x:c r="Y222" s="1" t="n">
        <x:f>IF(V222=1,IF(E222="GRANTED",IF(X222="GRANTED",1,0),IF(X222="DENIED",1,0)),0)</x:f>
        <x:v>0</x:v>
      </x:c>
    </x:row>
    <x:row r="223" ht="23" customHeight="1">
      <x:c r="A223" s="9" t="n">
        <x:v>46246.49369293981</x:v>
      </x:c>
      <x:c r="B223" s="1" t="str">
        <x:v>Maria Dela Cruz</x:v>
      </x:c>
      <x:c r="C223" s="1" t="str">
        <x:v>Exit</x:v>
      </x:c>
      <x:c r="D223" s="1" t="str">
        <x:v>HighSecurity</x:v>
      </x:c>
      <x:c r="E223" s="1" t="str">
        <x:v>GRANTED</x:v>
      </x:c>
      <x:c r="F223" s="11" t="n">
        <x:v>10.619</x:v>
      </x:c>
      <x:c r="G223" s="11" t="str">
        <x:v>N/A (Bypassed)</x:v>
      </x:c>
      <x:c r="H223" s="11" t="str">
        <x:v>N/A (Bypassed)</x:v>
      </x:c>
      <x:c r="I223" s="11" t="str">
        <x:v>N/A (Bypassed)</x:v>
      </x:c>
      <x:c r="J223" s="11" t="str">
        <x:v>N/A (Bypassed)</x:v>
      </x:c>
      <x:c r="K223" s="11" t="str">
        <x:v>N/A</x:v>
      </x:c>
      <x:c r="L223" s="11" t="n">
        <x:v>10.619</x:v>
      </x:c>
      <x:c r="M223" s="11" t="n">
        <x:v>2.7594</x:v>
      </x:c>
      <x:c r="N223" s="1" t="str">
        <x:v>6898be28591c4e1abe73f83f56b307e4</x:v>
      </x:c>
      <x:c r="O223" s="1" t="str">
        <x:v>Admin Office - 1</x:v>
      </x:c>
      <x:c r="P223" s="1" t="n">
        <x:v>1</x:v>
      </x:c>
      <x:c r="Q223" s="1" t="str">
        <x:v>high_security_mode_logs</x:v>
      </x:c>
      <x:c r="R223" s="1" t="n">
        <x:v>50</x:v>
      </x:c>
      <x:c r="S223" s="1" t="str">
        <x:v>Reset exit</x:v>
      </x:c>
      <x:c r="T223" s="1"/>
      <x:c r="U223" s="5" t="str"/>
      <x:c r="V223" s="1" t="n">
        <x:v>0</x:v>
      </x:c>
      <x:c r="W223" s="1" t="n">
        <x:v>0</x:v>
      </x:c>
      <x:c r="X223" s="1" t="str">
        <x:v>Not applicable</x:v>
      </x:c>
      <x:c r="Y223" s="1" t="n">
        <x:f>IF(V223=1,IF(E223="GRANTED",IF(X223="GRANTED",1,0),IF(X223="DENIED",1,0)),0)</x:f>
        <x:v>0</x:v>
      </x:c>
    </x:row>
    <x:row r="224" ht="23" customHeight="1">
      <x:c r="A224" s="9" t="n">
        <x:v>46246.49367203704</x:v>
      </x:c>
      <x:c r="B224" s="1" t="str">
        <x:v>Basilio Magbanua</x:v>
      </x:c>
      <x:c r="C224" s="1" t="str">
        <x:v>Exit</x:v>
      </x:c>
      <x:c r="D224" s="1" t="str">
        <x:v>HighSecurity</x:v>
      </x:c>
      <x:c r="E224" s="1" t="str">
        <x:v>GRANTED</x:v>
      </x:c>
      <x:c r="F224" s="11" t="n">
        <x:v>11.5046</x:v>
      </x:c>
      <x:c r="G224" s="11" t="str">
        <x:v>N/A (Bypassed)</x:v>
      </x:c>
      <x:c r="H224" s="11" t="str">
        <x:v>N/A (Bypassed)</x:v>
      </x:c>
      <x:c r="I224" s="11" t="str">
        <x:v>N/A (Bypassed)</x:v>
      </x:c>
      <x:c r="J224" s="11" t="str">
        <x:v>N/A (Bypassed)</x:v>
      </x:c>
      <x:c r="K224" s="11" t="str">
        <x:v>N/A</x:v>
      </x:c>
      <x:c r="L224" s="11" t="n">
        <x:v>11.5046</x:v>
      </x:c>
      <x:c r="M224" s="11" t="n">
        <x:v>2.8799</x:v>
      </x:c>
      <x:c r="N224" s="1" t="str">
        <x:v>6898be28591c4e1abe73f83f56b307e4</x:v>
      </x:c>
      <x:c r="O224" s="1" t="str">
        <x:v>Admin Office - 1</x:v>
      </x:c>
      <x:c r="P224" s="1" t="n">
        <x:v>1</x:v>
      </x:c>
      <x:c r="Q224" s="1" t="str">
        <x:v>high_security_mode_logs</x:v>
      </x:c>
      <x:c r="R224" s="1" t="n">
        <x:v>51</x:v>
      </x:c>
      <x:c r="S224" s="1" t="str">
        <x:v>Reset exit</x:v>
      </x:c>
      <x:c r="T224" s="1"/>
      <x:c r="U224" s="5" t="str"/>
      <x:c r="V224" s="1" t="n">
        <x:v>0</x:v>
      </x:c>
      <x:c r="W224" s="1" t="n">
        <x:v>0</x:v>
      </x:c>
      <x:c r="X224" s="1" t="str">
        <x:v>Not applicable</x:v>
      </x:c>
      <x:c r="Y224" s="1" t="n">
        <x:f>IF(V224=1,IF(E224="GRANTED",IF(X224="GRANTED",1,0),IF(X224="DENIED",1,0)),0)</x:f>
        <x:v>0</x:v>
      </x:c>
    </x:row>
    <x:row r="225" ht="23" customHeight="1">
      <x:c r="A225" s="9" t="n">
        <x:v>46246.49363978009</x:v>
      </x:c>
      <x:c r="B225" s="1" t="str">
        <x:v>Bayani Dela Rosa</x:v>
      </x:c>
      <x:c r="C225" s="1" t="str">
        <x:v>Exit</x:v>
      </x:c>
      <x:c r="D225" s="1" t="str">
        <x:v>HighSecurity</x:v>
      </x:c>
      <x:c r="E225" s="1" t="str">
        <x:v>GRANTED</x:v>
      </x:c>
      <x:c r="F225" s="11" t="n">
        <x:v>11.3122</x:v>
      </x:c>
      <x:c r="G225" s="11" t="str">
        <x:v>N/A (Bypassed)</x:v>
      </x:c>
      <x:c r="H225" s="11" t="str">
        <x:v>N/A (Bypassed)</x:v>
      </x:c>
      <x:c r="I225" s="11" t="str">
        <x:v>N/A (Bypassed)</x:v>
      </x:c>
      <x:c r="J225" s="11" t="str">
        <x:v>N/A (Bypassed)</x:v>
      </x:c>
      <x:c r="K225" s="11" t="str">
        <x:v>N/A</x:v>
      </x:c>
      <x:c r="L225" s="11" t="n">
        <x:v>11.3122</x:v>
      </x:c>
      <x:c r="M225" s="11" t="n">
        <x:v>4.4268</x:v>
      </x:c>
      <x:c r="N225" s="1" t="str">
        <x:v>6898be28591c4e1abe73f83f56b307e4</x:v>
      </x:c>
      <x:c r="O225" s="1" t="str">
        <x:v>Admin Office - 1</x:v>
      </x:c>
      <x:c r="P225" s="1" t="n">
        <x:v>1</x:v>
      </x:c>
      <x:c r="Q225" s="1" t="str">
        <x:v>high_security_mode_logs</x:v>
      </x:c>
      <x:c r="R225" s="1" t="n">
        <x:v>52</x:v>
      </x:c>
      <x:c r="S225" s="1" t="str">
        <x:v>Reset exit</x:v>
      </x:c>
      <x:c r="T225" s="1"/>
      <x:c r="U225" s="5" t="str"/>
      <x:c r="V225" s="1" t="n">
        <x:v>0</x:v>
      </x:c>
      <x:c r="W225" s="1" t="n">
        <x:v>0</x:v>
      </x:c>
      <x:c r="X225" s="1" t="str">
        <x:v>Not applicable</x:v>
      </x:c>
      <x:c r="Y225" s="1" t="n">
        <x:f>IF(V225=1,IF(E225="GRANTED",IF(X225="GRANTED",1,0),IF(X225="DENIED",1,0)),0)</x:f>
        <x:v>0</x:v>
      </x:c>
    </x:row>
    <x:row r="226" ht="23" customHeight="1">
      <x:c r="A226" s="9" t="n">
        <x:v>46246.49361452546</x:v>
      </x:c>
      <x:c r="B226" s="1" t="str">
        <x:v>Jose Mari Bautista</x:v>
      </x:c>
      <x:c r="C226" s="1" t="str">
        <x:v>Exit</x:v>
      </x:c>
      <x:c r="D226" s="1" t="str">
        <x:v>HighSecurity</x:v>
      </x:c>
      <x:c r="E226" s="1" t="str">
        <x:v>GRANTED</x:v>
      </x:c>
      <x:c r="F226" s="11" t="n">
        <x:v>11.8601</x:v>
      </x:c>
      <x:c r="G226" s="11" t="str">
        <x:v>N/A (Bypassed)</x:v>
      </x:c>
      <x:c r="H226" s="11" t="str">
        <x:v>N/A (Bypassed)</x:v>
      </x:c>
      <x:c r="I226" s="11" t="str">
        <x:v>N/A (Bypassed)</x:v>
      </x:c>
      <x:c r="J226" s="11" t="str">
        <x:v>N/A (Bypassed)</x:v>
      </x:c>
      <x:c r="K226" s="11" t="str">
        <x:v>N/A</x:v>
      </x:c>
      <x:c r="L226" s="11" t="n">
        <x:v>11.8601</x:v>
      </x:c>
      <x:c r="M226" s="11" t="n">
        <x:v>2.7206</x:v>
      </x:c>
      <x:c r="N226" s="1" t="str">
        <x:v>6898be28591c4e1abe73f83f56b307e4</x:v>
      </x:c>
      <x:c r="O226" s="1" t="str">
        <x:v>Admin Office - 1</x:v>
      </x:c>
      <x:c r="P226" s="1" t="n">
        <x:v>1</x:v>
      </x:c>
      <x:c r="Q226" s="1" t="str">
        <x:v>high_security_mode_logs</x:v>
      </x:c>
      <x:c r="R226" s="1" t="n">
        <x:v>53</x:v>
      </x:c>
      <x:c r="S226" s="1" t="str">
        <x:v>Reset exit</x:v>
      </x:c>
      <x:c r="T226" s="1"/>
      <x:c r="U226" s="5" t="str"/>
      <x:c r="V226" s="1" t="n">
        <x:v>0</x:v>
      </x:c>
      <x:c r="W226" s="1" t="n">
        <x:v>0</x:v>
      </x:c>
      <x:c r="X226" s="1" t="str">
        <x:v>Not applicable</x:v>
      </x:c>
      <x:c r="Y226" s="1" t="n">
        <x:f>IF(V226=1,IF(E226="GRANTED",IF(X226="GRANTED",1,0),IF(X226="DENIED",1,0)),0)</x:f>
        <x:v>0</x:v>
      </x:c>
    </x:row>
    <x:row r="227" ht="23" customHeight="1">
      <x:c r="A227" s="9" t="n">
        <x:v>46246.493595300926</x:v>
      </x:c>
      <x:c r="B227" s="1" t="str">
        <x:v>Angelito Fernandez</x:v>
      </x:c>
      <x:c r="C227" s="1" t="str">
        <x:v>Exit</x:v>
      </x:c>
      <x:c r="D227" s="1" t="str">
        <x:v>HighSecurity</x:v>
      </x:c>
      <x:c r="E227" s="1" t="str">
        <x:v>GRANTED</x:v>
      </x:c>
      <x:c r="F227" s="11" t="n">
        <x:v>14.0506</x:v>
      </x:c>
      <x:c r="G227" s="11" t="str">
        <x:v>N/A (Bypassed)</x:v>
      </x:c>
      <x:c r="H227" s="11" t="str">
        <x:v>N/A (Bypassed)</x:v>
      </x:c>
      <x:c r="I227" s="11" t="str">
        <x:v>N/A (Bypassed)</x:v>
      </x:c>
      <x:c r="J227" s="11" t="str">
        <x:v>N/A (Bypassed)</x:v>
      </x:c>
      <x:c r="K227" s="11" t="str">
        <x:v>N/A</x:v>
      </x:c>
      <x:c r="L227" s="11" t="n">
        <x:v>14.0506</x:v>
      </x:c>
      <x:c r="M227" s="11" t="n">
        <x:v>3.6788</x:v>
      </x:c>
      <x:c r="N227" s="1" t="str">
        <x:v>6898be28591c4e1abe73f83f56b307e4</x:v>
      </x:c>
      <x:c r="O227" s="1" t="str">
        <x:v>Admin Office - 1</x:v>
      </x:c>
      <x:c r="P227" s="1" t="n">
        <x:v>1</x:v>
      </x:c>
      <x:c r="Q227" s="1" t="str">
        <x:v>high_security_mode_logs</x:v>
      </x:c>
      <x:c r="R227" s="1" t="n">
        <x:v>54</x:v>
      </x:c>
      <x:c r="S227" s="1" t="str">
        <x:v>Reset exit</x:v>
      </x:c>
      <x:c r="T227" s="1"/>
      <x:c r="U227" s="5" t="str"/>
      <x:c r="V227" s="1" t="n">
        <x:v>0</x:v>
      </x:c>
      <x:c r="W227" s="1" t="n">
        <x:v>0</x:v>
      </x:c>
      <x:c r="X227" s="1" t="str">
        <x:v>Not applicable</x:v>
      </x:c>
      <x:c r="Y227" s="1" t="n">
        <x:f>IF(V227=1,IF(E227="GRANTED",IF(X227="GRANTED",1,0),IF(X227="DENIED",1,0)),0)</x:f>
        <x:v>0</x:v>
      </x:c>
    </x:row>
    <x:row r="228" ht="23" customHeight="1">
      <x:c r="A228" s="9" t="n">
        <x:v>46246.493574259264</x:v>
      </x:c>
      <x:c r="B228" s="1" t="str">
        <x:v>Roberto Ramos</x:v>
      </x:c>
      <x:c r="C228" s="1" t="str">
        <x:v>Exit</x:v>
      </x:c>
      <x:c r="D228" s="1" t="str">
        <x:v>HighSecurity</x:v>
      </x:c>
      <x:c r="E228" s="1" t="str">
        <x:v>GRANTED</x:v>
      </x:c>
      <x:c r="F228" s="11" t="n">
        <x:v>12.6852</x:v>
      </x:c>
      <x:c r="G228" s="11" t="str">
        <x:v>N/A (Bypassed)</x:v>
      </x:c>
      <x:c r="H228" s="11" t="str">
        <x:v>N/A (Bypassed)</x:v>
      </x:c>
      <x:c r="I228" s="11" t="str">
        <x:v>N/A (Bypassed)</x:v>
      </x:c>
      <x:c r="J228" s="11" t="str">
        <x:v>N/A (Bypassed)</x:v>
      </x:c>
      <x:c r="K228" s="11" t="str">
        <x:v>N/A</x:v>
      </x:c>
      <x:c r="L228" s="11" t="n">
        <x:v>12.6852</x:v>
      </x:c>
      <x:c r="M228" s="11" t="n">
        <x:v>5.3489</x:v>
      </x:c>
      <x:c r="N228" s="1" t="str">
        <x:v>6898be28591c4e1abe73f83f56b307e4</x:v>
      </x:c>
      <x:c r="O228" s="1" t="str">
        <x:v>Admin Office - 1</x:v>
      </x:c>
      <x:c r="P228" s="1" t="n">
        <x:v>1</x:v>
      </x:c>
      <x:c r="Q228" s="1" t="str">
        <x:v>high_security_mode_logs</x:v>
      </x:c>
      <x:c r="R228" s="1" t="n">
        <x:v>55</x:v>
      </x:c>
      <x:c r="S228" s="1" t="str">
        <x:v>Reset exit</x:v>
      </x:c>
      <x:c r="T228" s="1"/>
      <x:c r="U228" s="5" t="str"/>
      <x:c r="V228" s="1" t="n">
        <x:v>0</x:v>
      </x:c>
      <x:c r="W228" s="1" t="n">
        <x:v>0</x:v>
      </x:c>
      <x:c r="X228" s="1" t="str">
        <x:v>Not applicable</x:v>
      </x:c>
      <x:c r="Y228" s="1" t="n">
        <x:f>IF(V228=1,IF(E228="GRANTED",IF(X228="GRANTED",1,0),IF(X228="DENIED",1,0)),0)</x:f>
        <x:v>0</x:v>
      </x:c>
    </x:row>
    <x:row r="229" ht="23" customHeight="1">
      <x:c r="A229" s="9" t="n">
        <x:v>46246.49354517361</x:v>
      </x:c>
      <x:c r="B229" s="1" t="str">
        <x:v>Juanito Delos Santos</x:v>
      </x:c>
      <x:c r="C229" s="1" t="str">
        <x:v>Exit</x:v>
      </x:c>
      <x:c r="D229" s="1" t="str">
        <x:v>HighSecurity</x:v>
      </x:c>
      <x:c r="E229" s="1" t="str">
        <x:v>GRANTED</x:v>
      </x:c>
      <x:c r="F229" s="11" t="n">
        <x:v>10.3577</x:v>
      </x:c>
      <x:c r="G229" s="11" t="str">
        <x:v>N/A (Bypassed)</x:v>
      </x:c>
      <x:c r="H229" s="11" t="str">
        <x:v>N/A (Bypassed)</x:v>
      </x:c>
      <x:c r="I229" s="11" t="str">
        <x:v>N/A (Bypassed)</x:v>
      </x:c>
      <x:c r="J229" s="11" t="str">
        <x:v>N/A (Bypassed)</x:v>
      </x:c>
      <x:c r="K229" s="11" t="str">
        <x:v>N/A</x:v>
      </x:c>
      <x:c r="L229" s="11" t="n">
        <x:v>10.3577</x:v>
      </x:c>
      <x:c r="M229" s="11" t="n">
        <x:v>3.1294</x:v>
      </x:c>
      <x:c r="N229" s="1" t="str">
        <x:v>6898be28591c4e1abe73f83f56b307e4</x:v>
      </x:c>
      <x:c r="O229" s="1" t="str">
        <x:v>Admin Office - 1</x:v>
      </x:c>
      <x:c r="P229" s="1" t="n">
        <x:v>1</x:v>
      </x:c>
      <x:c r="Q229" s="1" t="str">
        <x:v>high_security_mode_logs</x:v>
      </x:c>
      <x:c r="R229" s="1" t="n">
        <x:v>56</x:v>
      </x:c>
      <x:c r="S229" s="1" t="str">
        <x:v>Reset exit</x:v>
      </x:c>
      <x:c r="T229" s="1"/>
      <x:c r="U229" s="5" t="str"/>
      <x:c r="V229" s="1" t="n">
        <x:v>0</x:v>
      </x:c>
      <x:c r="W229" s="1" t="n">
        <x:v>0</x:v>
      </x:c>
      <x:c r="X229" s="1" t="str">
        <x:v>Not applicable</x:v>
      </x:c>
      <x:c r="Y229" s="1" t="n">
        <x:f>IF(V229=1,IF(E229="GRANTED",IF(X229="GRANTED",1,0),IF(X229="DENIED",1,0)),0)</x:f>
        <x:v>0</x:v>
      </x:c>
    </x:row>
    <x:row r="230" ht="23" customHeight="1">
      <x:c r="A230" s="9" t="n">
        <x:v>46246.49352873843</x:v>
      </x:c>
      <x:c r="B230" s="1" t="str">
        <x:v>[TEMP] Manuel Mendoza</x:v>
      </x:c>
      <x:c r="C230" s="1" t="str">
        <x:v>Exit</x:v>
      </x:c>
      <x:c r="D230" s="1" t="str">
        <x:v>HighSecurity</x:v>
      </x:c>
      <x:c r="E230" s="1" t="str">
        <x:v>GRANTED</x:v>
      </x:c>
      <x:c r="F230" s="11" t="n">
        <x:v>12.4272</x:v>
      </x:c>
      <x:c r="G230" s="11" t="str">
        <x:v>N/A (Bypassed)</x:v>
      </x:c>
      <x:c r="H230" s="11" t="str">
        <x:v>N/A (Bypassed)</x:v>
      </x:c>
      <x:c r="I230" s="11" t="str">
        <x:v>N/A (Bypassed)</x:v>
      </x:c>
      <x:c r="J230" s="11" t="str">
        <x:v>N/A (Bypassed)</x:v>
      </x:c>
      <x:c r="K230" s="11" t="str">
        <x:v>N/A</x:v>
      </x:c>
      <x:c r="L230" s="11" t="n">
        <x:v>12.4272</x:v>
      </x:c>
      <x:c r="M230" s="11" t="n">
        <x:v>2.8625</x:v>
      </x:c>
      <x:c r="N230" s="1" t="str">
        <x:v>6898be28591c4e1abe73f83f56b307e4</x:v>
      </x:c>
      <x:c r="O230" s="1" t="str">
        <x:v>Admin Office - 1</x:v>
      </x:c>
      <x:c r="P230" s="1" t="n">
        <x:v>1</x:v>
      </x:c>
      <x:c r="Q230" s="1" t="str">
        <x:v>high_security_mode_logs</x:v>
      </x:c>
      <x:c r="R230" s="1" t="n">
        <x:v>57</x:v>
      </x:c>
      <x:c r="S230" s="1" t="str">
        <x:v>Reset exit</x:v>
      </x:c>
      <x:c r="T230" s="1"/>
      <x:c r="U230" s="5" t="str"/>
      <x:c r="V230" s="1" t="n">
        <x:v>0</x:v>
      </x:c>
      <x:c r="W230" s="1" t="n">
        <x:v>0</x:v>
      </x:c>
      <x:c r="X230" s="1" t="str">
        <x:v>Not applicable</x:v>
      </x:c>
      <x:c r="Y230" s="1" t="n">
        <x:f>IF(V230=1,IF(E230="GRANTED",IF(X230="GRANTED",1,0),IF(X230="DENIED",1,0)),0)</x:f>
        <x:v>0</x:v>
      </x:c>
    </x:row>
    <x:row r="231" ht="23" customHeight="1">
      <x:c r="A231" s="9" t="n">
        <x:v>46246.49350793981</x:v>
      </x:c>
      <x:c r="B231" s="1" t="str">
        <x:v>Francisco Garcia</x:v>
      </x:c>
      <x:c r="C231" s="1" t="str">
        <x:v>Exit</x:v>
      </x:c>
      <x:c r="D231" s="1" t="str">
        <x:v>HighSecurity</x:v>
      </x:c>
      <x:c r="E231" s="1" t="str">
        <x:v>GRANTED</x:v>
      </x:c>
      <x:c r="F231" s="11" t="n">
        <x:v>11.7476</x:v>
      </x:c>
      <x:c r="G231" s="11" t="str">
        <x:v>N/A (Bypassed)</x:v>
      </x:c>
      <x:c r="H231" s="11" t="str">
        <x:v>N/A (Bypassed)</x:v>
      </x:c>
      <x:c r="I231" s="11" t="str">
        <x:v>N/A (Bypassed)</x:v>
      </x:c>
      <x:c r="J231" s="11" t="str">
        <x:v>N/A (Bypassed)</x:v>
      </x:c>
      <x:c r="K231" s="11" t="str">
        <x:v>N/A</x:v>
      </x:c>
      <x:c r="L231" s="11" t="n">
        <x:v>11.7476</x:v>
      </x:c>
      <x:c r="M231" s="11" t="n">
        <x:v>2.8578</x:v>
      </x:c>
      <x:c r="N231" s="1" t="str">
        <x:v>6898be28591c4e1abe73f83f56b307e4</x:v>
      </x:c>
      <x:c r="O231" s="1" t="str">
        <x:v>Admin Office - 1</x:v>
      </x:c>
      <x:c r="P231" s="1" t="n">
        <x:v>1</x:v>
      </x:c>
      <x:c r="Q231" s="1" t="str">
        <x:v>high_security_mode_logs</x:v>
      </x:c>
      <x:c r="R231" s="1" t="n">
        <x:v>58</x:v>
      </x:c>
      <x:c r="S231" s="1" t="str">
        <x:v>Reset exit</x:v>
      </x:c>
      <x:c r="T231" s="1"/>
      <x:c r="U231" s="5" t="str"/>
      <x:c r="V231" s="1" t="n">
        <x:v>0</x:v>
      </x:c>
      <x:c r="W231" s="1" t="n">
        <x:v>0</x:v>
      </x:c>
      <x:c r="X231" s="1" t="str">
        <x:v>Not applicable</x:v>
      </x:c>
      <x:c r="Y231" s="1" t="n">
        <x:f>IF(V231=1,IF(E231="GRANTED",IF(X231="GRANTED",1,0),IF(X231="DENIED",1,0)),0)</x:f>
        <x:v>0</x:v>
      </x:c>
    </x:row>
    <x:row r="232" ht="23" customHeight="1">
      <x:c r="A232" s="9" t="n">
        <x:v>46246.4934877662</x:v>
      </x:c>
      <x:c r="B232" s="1" t="str">
        <x:v>[TEMP] Pedro Reyes</x:v>
      </x:c>
      <x:c r="C232" s="1" t="str">
        <x:v>Exit</x:v>
      </x:c>
      <x:c r="D232" s="1" t="str">
        <x:v>HighSecurity</x:v>
      </x:c>
      <x:c r="E232" s="1" t="str">
        <x:v>GRANTED</x:v>
      </x:c>
      <x:c r="F232" s="11" t="n">
        <x:v>10.2394</x:v>
      </x:c>
      <x:c r="G232" s="11" t="str">
        <x:v>N/A (Bypassed)</x:v>
      </x:c>
      <x:c r="H232" s="11" t="str">
        <x:v>N/A (Bypassed)</x:v>
      </x:c>
      <x:c r="I232" s="11" t="str">
        <x:v>N/A (Bypassed)</x:v>
      </x:c>
      <x:c r="J232" s="11" t="str">
        <x:v>N/A (Bypassed)</x:v>
      </x:c>
      <x:c r="K232" s="11" t="str">
        <x:v>N/A</x:v>
      </x:c>
      <x:c r="L232" s="11" t="n">
        <x:v>10.2394</x:v>
      </x:c>
      <x:c r="M232" s="11" t="n">
        <x:v>2.8424</x:v>
      </x:c>
      <x:c r="N232" s="1" t="str">
        <x:v>6898be28591c4e1abe73f83f56b307e4</x:v>
      </x:c>
      <x:c r="O232" s="1" t="str">
        <x:v>Admin Office - 1</x:v>
      </x:c>
      <x:c r="P232" s="1" t="n">
        <x:v>1</x:v>
      </x:c>
      <x:c r="Q232" s="1" t="str">
        <x:v>high_security_mode_logs</x:v>
      </x:c>
      <x:c r="R232" s="1" t="n">
        <x:v>59</x:v>
      </x:c>
      <x:c r="S232" s="1" t="str">
        <x:v>Reset exit</x:v>
      </x:c>
      <x:c r="T232" s="1"/>
      <x:c r="U232" s="5" t="str"/>
      <x:c r="V232" s="1" t="n">
        <x:v>0</x:v>
      </x:c>
      <x:c r="W232" s="1" t="n">
        <x:v>0</x:v>
      </x:c>
      <x:c r="X232" s="1" t="str">
        <x:v>Not applicable</x:v>
      </x:c>
      <x:c r="Y232" s="1" t="n">
        <x:f>IF(V232=1,IF(E232="GRANTED",IF(X232="GRANTED",1,0),IF(X232="DENIED",1,0)),0)</x:f>
        <x:v>0</x:v>
      </x:c>
    </x:row>
    <x:row r="233" ht="23" customHeight="1">
      <x:c r="A233" s="9" t="n">
        <x:v>46246.49346831019</x:v>
      </x:c>
      <x:c r="B233" s="1" t="str">
        <x:v>[TEMP] Jose Santos</x:v>
      </x:c>
      <x:c r="C233" s="1" t="str">
        <x:v>Exit</x:v>
      </x:c>
      <x:c r="D233" s="1" t="str">
        <x:v>HighSecurity</x:v>
      </x:c>
      <x:c r="E233" s="1" t="str">
        <x:v>GRANTED</x:v>
      </x:c>
      <x:c r="F233" s="11" t="n">
        <x:v>16.4116</x:v>
      </x:c>
      <x:c r="G233" s="11" t="str">
        <x:v>N/A (Bypassed)</x:v>
      </x:c>
      <x:c r="H233" s="11" t="str">
        <x:v>N/A (Bypassed)</x:v>
      </x:c>
      <x:c r="I233" s="11" t="str">
        <x:v>N/A (Bypassed)</x:v>
      </x:c>
      <x:c r="J233" s="11" t="str">
        <x:v>N/A (Bypassed)</x:v>
      </x:c>
      <x:c r="K233" s="11" t="str">
        <x:v>N/A</x:v>
      </x:c>
      <x:c r="L233" s="11" t="n">
        <x:v>16.4116</x:v>
      </x:c>
      <x:c r="M233" s="11" t="n">
        <x:v>3.1322</x:v>
      </x:c>
      <x:c r="N233" s="1" t="str">
        <x:v>6898be28591c4e1abe73f83f56b307e4</x:v>
      </x:c>
      <x:c r="O233" s="1" t="str">
        <x:v>Admin Office - 1</x:v>
      </x:c>
      <x:c r="P233" s="1" t="n">
        <x:v>1</x:v>
      </x:c>
      <x:c r="Q233" s="1" t="str">
        <x:v>high_security_mode_logs</x:v>
      </x:c>
      <x:c r="R233" s="1" t="n">
        <x:v>60</x:v>
      </x:c>
      <x:c r="S233" s="1" t="str">
        <x:v>Reset exit</x:v>
      </x:c>
      <x:c r="T233" s="1"/>
      <x:c r="U233" s="5" t="str"/>
      <x:c r="V233" s="1" t="n">
        <x:v>0</x:v>
      </x:c>
      <x:c r="W233" s="1" t="n">
        <x:v>0</x:v>
      </x:c>
      <x:c r="X233" s="1" t="str">
        <x:v>Not applicable</x:v>
      </x:c>
      <x:c r="Y233" s="1" t="n">
        <x:f>IF(V233=1,IF(E233="GRANTED",IF(X233="GRANTED",1,0),IF(X233="DENIED",1,0)),0)</x:f>
        <x:v>0</x:v>
      </x:c>
    </x:row>
    <x:row r="234" ht="23" customHeight="1">
      <x:c r="A234" s="9" t="n">
        <x:v>46246.49344527778</x:v>
      </x:c>
      <x:c r="B234" s="1" t="str">
        <x:v>[TEMP] Juan Dela Cruz</x:v>
      </x:c>
      <x:c r="C234" s="1" t="str">
        <x:v>Exit</x:v>
      </x:c>
      <x:c r="D234" s="1" t="str">
        <x:v>HighSecurity</x:v>
      </x:c>
      <x:c r="E234" s="1" t="str">
        <x:v>GRANTED</x:v>
      </x:c>
      <x:c r="F234" s="11" t="n">
        <x:v>9.6478</x:v>
      </x:c>
      <x:c r="G234" s="11" t="str">
        <x:v>N/A (Bypassed)</x:v>
      </x:c>
      <x:c r="H234" s="11" t="str">
        <x:v>N/A (Bypassed)</x:v>
      </x:c>
      <x:c r="I234" s="11" t="str">
        <x:v>N/A (Bypassed)</x:v>
      </x:c>
      <x:c r="J234" s="11" t="str">
        <x:v>N/A (Bypassed)</x:v>
      </x:c>
      <x:c r="K234" s="11" t="str">
        <x:v>N/A</x:v>
      </x:c>
      <x:c r="L234" s="11" t="n">
        <x:v>9.6478</x:v>
      </x:c>
      <x:c r="M234" s="11" t="n">
        <x:v>2.5748</x:v>
      </x:c>
      <x:c r="N234" s="1" t="str">
        <x:v>6898be28591c4e1abe73f83f56b307e4</x:v>
      </x:c>
      <x:c r="O234" s="1" t="str">
        <x:v>Admin Office - 1</x:v>
      </x:c>
      <x:c r="P234" s="1" t="n">
        <x:v>1</x:v>
      </x:c>
      <x:c r="Q234" s="1" t="str">
        <x:v>high_security_mode_logs</x:v>
      </x:c>
      <x:c r="R234" s="1" t="n">
        <x:v>61</x:v>
      </x:c>
      <x:c r="S234" s="1" t="str">
        <x:v>Reset exit</x:v>
      </x:c>
      <x:c r="T234" s="1"/>
      <x:c r="U234" s="5" t="str"/>
      <x:c r="V234" s="1" t="n">
        <x:v>0</x:v>
      </x:c>
      <x:c r="W234" s="1" t="n">
        <x:v>0</x:v>
      </x:c>
      <x:c r="X234" s="1" t="str">
        <x:v>Not applicable</x:v>
      </x:c>
      <x:c r="Y234" s="1" t="n">
        <x:f>IF(V234=1,IF(E234="GRANTED",IF(X234="GRANTED",1,0),IF(X234="DENIED",1,0)),0)</x:f>
        <x:v>0</x:v>
      </x:c>
    </x:row>
    <x:row r="235" ht="23" customHeight="1">
      <x:c r="A235" s="9" t="n">
        <x:v>46246.49325443287</x:v>
      </x:c>
      <x:c r="B235" s="1" t="str">
        <x:v>Pedro Penduko</x:v>
      </x:c>
      <x:c r="C235" s="1" t="str">
        <x:v>Entry</x:v>
      </x:c>
      <x:c r="D235" s="1" t="str">
        <x:v>HighSecurity</x:v>
      </x:c>
      <x:c r="E235" s="1" t="str">
        <x:v>GRANTED</x:v>
      </x:c>
      <x:c r="F235" s="11" t="n">
        <x:v>12.1274</x:v>
      </x:c>
      <x:c r="G235" s="11" t="n">
        <x:v>1925.1</x:v>
      </x:c>
      <x:c r="H235" s="11" t="n">
        <x:v>38.636</x:v>
      </x:c>
      <x:c r="I235" s="11" t="n">
        <x:v>1890.0657</x:v>
      </x:c>
      <x:c r="J235" s="11" t="n">
        <x:v>2.2281</x:v>
      </x:c>
      <x:c r="K235" s="11" t="n">
        <x:v>3815.1657</x:v>
      </x:c>
      <x:c r="L235" s="11" t="n">
        <x:v>52.9915</x:v>
      </x:c>
      <x:c r="M235" s="11" t="n">
        <x:v>44.6643</x:v>
      </x:c>
      <x:c r="N235" s="1" t="str">
        <x:v>6898be28591c4e1abe73f83f56b307e4</x:v>
      </x:c>
      <x:c r="O235" s="1" t="str">
        <x:v>Admin Office - 1</x:v>
      </x:c>
      <x:c r="P235" s="1" t="n">
        <x:v>1</x:v>
      </x:c>
      <x:c r="Q235" s="1" t="str">
        <x:v>high_security_mode_logs</x:v>
      </x:c>
      <x:c r="R235" s="1" t="n">
        <x:v>62</x:v>
      </x:c>
      <x:c r="S235" s="1" t="str">
        <x:v>Successful entry</x:v>
      </x:c>
      <x:c r="T235" s="1" t="n">
        <x:v>1</x:v>
      </x:c>
      <x:c r="U235" s="5" t="str"/>
      <x:c r="V235" s="1" t="n">
        <x:v>1</x:v>
      </x:c>
      <x:c r="W235" s="1" t="n">
        <x:v>1</x:v>
      </x:c>
      <x:c r="X235" s="1" t="str">
        <x:v>GRANTED</x:v>
      </x:c>
      <x:c r="Y235" s="1" t="n">
        <x:f>IF(V235=1,IF(E235="GRANTED",IF(X235="GRANTED",1,0),IF(X235="DENIED",1,0)),0)</x:f>
        <x:v>1</x:v>
      </x:c>
    </x:row>
    <x:row r="236" ht="23" customHeight="1">
      <x:c r="A236" s="9" t="n">
        <x:v>46246.49312945602</x:v>
      </x:c>
      <x:c r="B236" s="1" t="str">
        <x:v>Juan Tamad</x:v>
      </x:c>
      <x:c r="C236" s="1" t="str">
        <x:v>Entry</x:v>
      </x:c>
      <x:c r="D236" s="1" t="str">
        <x:v>HighSecurity</x:v>
      </x:c>
      <x:c r="E236" s="1" t="str">
        <x:v>GRANTED</x:v>
      </x:c>
      <x:c r="F236" s="11" t="n">
        <x:v>11.5205</x:v>
      </x:c>
      <x:c r="G236" s="11" t="n">
        <x:v>2530.1987</x:v>
      </x:c>
      <x:c r="H236" s="11" t="n">
        <x:v>37.8638</x:v>
      </x:c>
      <x:c r="I236" s="11" t="n">
        <x:v>5664.2764</x:v>
      </x:c>
      <x:c r="J236" s="11" t="n">
        <x:v>2.2019</x:v>
      </x:c>
      <x:c r="K236" s="11" t="n">
        <x:v>8194.4751</x:v>
      </x:c>
      <x:c r="L236" s="11" t="n">
        <x:v>51.5862</x:v>
      </x:c>
      <x:c r="M236" s="11" t="n">
        <x:v>41.4209</x:v>
      </x:c>
      <x:c r="N236" s="1" t="str">
        <x:v>6898be28591c4e1abe73f83f56b307e4</x:v>
      </x:c>
      <x:c r="O236" s="1" t="str">
        <x:v>Admin Office - 1</x:v>
      </x:c>
      <x:c r="P236" s="1" t="n">
        <x:v>1</x:v>
      </x:c>
      <x:c r="Q236" s="1" t="str">
        <x:v>high_security_mode_logs</x:v>
      </x:c>
      <x:c r="R236" s="1" t="n">
        <x:v>63</x:v>
      </x:c>
      <x:c r="S236" s="1" t="str">
        <x:v>Successful entry</x:v>
      </x:c>
      <x:c r="T236" s="1" t="n">
        <x:v>1</x:v>
      </x:c>
      <x:c r="U236" s="5" t="str"/>
      <x:c r="V236" s="1" t="n">
        <x:v>1</x:v>
      </x:c>
      <x:c r="W236" s="1" t="n">
        <x:v>1</x:v>
      </x:c>
      <x:c r="X236" s="1" t="str">
        <x:v>GRANTED</x:v>
      </x:c>
      <x:c r="Y236" s="1" t="n">
        <x:f>IF(V236=1,IF(E236="GRANTED",IF(X236="GRANTED",1,0),IF(X236="DENIED",1,0)),0)</x:f>
        <x:v>1</x:v>
      </x:c>
    </x:row>
    <x:row r="237" ht="23" customHeight="1">
      <x:c r="A237" s="9" t="n">
        <x:v>46246.49297366898</x:v>
      </x:c>
      <x:c r="B237" s="1" t="str">
        <x:v>Luningning Santos</x:v>
      </x:c>
      <x:c r="C237" s="1" t="str">
        <x:v>Entry</x:v>
      </x:c>
      <x:c r="D237" s="1" t="str">
        <x:v>HighSecurity</x:v>
      </x:c>
      <x:c r="E237" s="1" t="str">
        <x:v>GRANTED</x:v>
      </x:c>
      <x:c r="F237" s="11" t="n">
        <x:v>10.5566</x:v>
      </x:c>
      <x:c r="G237" s="11" t="n">
        <x:v>1979.5687</x:v>
      </x:c>
      <x:c r="H237" s="11" t="n">
        <x:v>36.9881</x:v>
      </x:c>
      <x:c r="I237" s="11" t="n">
        <x:v>3925.5795</x:v>
      </x:c>
      <x:c r="J237" s="11" t="n">
        <x:v>2.6018</x:v>
      </x:c>
      <x:c r="K237" s="11" t="n">
        <x:v>5905.1482</x:v>
      </x:c>
      <x:c r="L237" s="11" t="n">
        <x:v>50.1465</x:v>
      </x:c>
      <x:c r="M237" s="11" t="n">
        <x:v>41.4191</x:v>
      </x:c>
      <x:c r="N237" s="1" t="str">
        <x:v>6898be28591c4e1abe73f83f56b307e4</x:v>
      </x:c>
      <x:c r="O237" s="1" t="str">
        <x:v>Admin Office - 1</x:v>
      </x:c>
      <x:c r="P237" s="1" t="n">
        <x:v>1</x:v>
      </x:c>
      <x:c r="Q237" s="1" t="str">
        <x:v>high_security_mode_logs</x:v>
      </x:c>
      <x:c r="R237" s="1" t="n">
        <x:v>64</x:v>
      </x:c>
      <x:c r="S237" s="1" t="str">
        <x:v>Successful entry</x:v>
      </x:c>
      <x:c r="T237" s="1" t="n">
        <x:v>1</x:v>
      </x:c>
      <x:c r="U237" s="5" t="str"/>
      <x:c r="V237" s="1" t="n">
        <x:v>1</x:v>
      </x:c>
      <x:c r="W237" s="1" t="n">
        <x:v>1</x:v>
      </x:c>
      <x:c r="X237" s="1" t="str">
        <x:v>GRANTED</x:v>
      </x:c>
      <x:c r="Y237" s="1" t="n">
        <x:f>IF(V237=1,IF(E237="GRANTED",IF(X237="GRANTED",1,0),IF(X237="DENIED",1,0)),0)</x:f>
        <x:v>1</x:v>
      </x:c>
    </x:row>
    <x:row r="238" ht="23" customHeight="1">
      <x:c r="A238" s="9" t="n">
        <x:v>46246.49283806713</x:v>
      </x:c>
      <x:c r="B238" s="1" t="str">
        <x:v>Teresita Gonzales</x:v>
      </x:c>
      <x:c r="C238" s="1" t="str">
        <x:v>Entry</x:v>
      </x:c>
      <x:c r="D238" s="1" t="str">
        <x:v>HighSecurity</x:v>
      </x:c>
      <x:c r="E238" s="1" t="str">
        <x:v>GRANTED</x:v>
      </x:c>
      <x:c r="F238" s="11" t="n">
        <x:v>12.5767</x:v>
      </x:c>
      <x:c r="G238" s="11" t="n">
        <x:v>1925.1164</x:v>
      </x:c>
      <x:c r="H238" s="11" t="n">
        <x:v>65.5057</x:v>
      </x:c>
      <x:c r="I238" s="11" t="n">
        <x:v>2557.1977</x:v>
      </x:c>
      <x:c r="J238" s="11" t="n">
        <x:v>2.2258</x:v>
      </x:c>
      <x:c r="K238" s="11" t="n">
        <x:v>4482.3141</x:v>
      </x:c>
      <x:c r="L238" s="11" t="n">
        <x:v>80.3082</x:v>
      </x:c>
      <x:c r="M238" s="11" t="n">
        <x:v>71.2306</x:v>
      </x:c>
      <x:c r="N238" s="1" t="str">
        <x:v>6898be28591c4e1abe73f83f56b307e4</x:v>
      </x:c>
      <x:c r="O238" s="1" t="str">
        <x:v>Admin Office - 1</x:v>
      </x:c>
      <x:c r="P238" s="1" t="n">
        <x:v>1</x:v>
      </x:c>
      <x:c r="Q238" s="1" t="str">
        <x:v>high_security_mode_logs</x:v>
      </x:c>
      <x:c r="R238" s="1" t="n">
        <x:v>65</x:v>
      </x:c>
      <x:c r="S238" s="1" t="str">
        <x:v>Successful entry</x:v>
      </x:c>
      <x:c r="T238" s="1" t="n">
        <x:v>1</x:v>
      </x:c>
      <x:c r="U238" s="5" t="str"/>
      <x:c r="V238" s="1" t="n">
        <x:v>1</x:v>
      </x:c>
      <x:c r="W238" s="1" t="n">
        <x:v>1</x:v>
      </x:c>
      <x:c r="X238" s="1" t="str">
        <x:v>GRANTED</x:v>
      </x:c>
      <x:c r="Y238" s="1" t="n">
        <x:f>IF(V238=1,IF(E238="GRANTED",IF(X238="GRANTED",1,0),IF(X238="DENIED",1,0)),0)</x:f>
        <x:v>1</x:v>
      </x:c>
    </x:row>
    <x:row r="239" ht="23" customHeight="1">
      <x:c r="A239" s="9" t="n">
        <x:v>46246.492718333335</x:v>
      </x:c>
      <x:c r="B239" s="1" t="str">
        <x:v>Ana Delos Reyes</x:v>
      </x:c>
      <x:c r="C239" s="1" t="str">
        <x:v>Entry</x:v>
      </x:c>
      <x:c r="D239" s="1" t="str">
        <x:v>HighSecurity</x:v>
      </x:c>
      <x:c r="E239" s="1" t="str">
        <x:v>GRANTED</x:v>
      </x:c>
      <x:c r="F239" s="11" t="n">
        <x:v>11.5423</x:v>
      </x:c>
      <x:c r="G239" s="11" t="n">
        <x:v>2145.153</x:v>
      </x:c>
      <x:c r="H239" s="11" t="n">
        <x:v>37.5819</x:v>
      </x:c>
      <x:c r="I239" s="11" t="n">
        <x:v>7791.0387</x:v>
      </x:c>
      <x:c r="J239" s="11" t="n">
        <x:v>2.331</x:v>
      </x:c>
      <x:c r="K239" s="11" t="n">
        <x:v>9936.1917</x:v>
      </x:c>
      <x:c r="L239" s="11" t="n">
        <x:v>51.4552</x:v>
      </x:c>
      <x:c r="M239" s="11" t="n">
        <x:v>41.3659</x:v>
      </x:c>
      <x:c r="N239" s="1" t="str">
        <x:v>6898be28591c4e1abe73f83f56b307e4</x:v>
      </x:c>
      <x:c r="O239" s="1" t="str">
        <x:v>Admin Office - 1</x:v>
      </x:c>
      <x:c r="P239" s="1" t="n">
        <x:v>1</x:v>
      </x:c>
      <x:c r="Q239" s="1" t="str">
        <x:v>high_security_mode_logs</x:v>
      </x:c>
      <x:c r="R239" s="1" t="n">
        <x:v>66</x:v>
      </x:c>
      <x:c r="S239" s="1" t="str">
        <x:v>Successful entry</x:v>
      </x:c>
      <x:c r="T239" s="1" t="n">
        <x:v>1</x:v>
      </x:c>
      <x:c r="U239" s="5" t="str"/>
      <x:c r="V239" s="1" t="n">
        <x:v>1</x:v>
      </x:c>
      <x:c r="W239" s="1" t="n">
        <x:v>1</x:v>
      </x:c>
      <x:c r="X239" s="1" t="str">
        <x:v>GRANTED</x:v>
      </x:c>
      <x:c r="Y239" s="1" t="n">
        <x:f>IF(V239=1,IF(E239="GRANTED",IF(X239="GRANTED",1,0),IF(X239="DENIED",1,0)),0)</x:f>
        <x:v>1</x:v>
      </x:c>
    </x:row>
    <x:row r="240" ht="23" customHeight="1">
      <x:c r="A240" s="9" t="n">
        <x:v>46246.49253815972</x:v>
      </x:c>
      <x:c r="B240" s="1" t="str">
        <x:v>Maria Santos</x:v>
      </x:c>
      <x:c r="C240" s="1" t="str">
        <x:v>Entry</x:v>
      </x:c>
      <x:c r="D240" s="1" t="str">
        <x:v>HighSecurity</x:v>
      </x:c>
      <x:c r="E240" s="1" t="str">
        <x:v>GRANTED</x:v>
      </x:c>
      <x:c r="F240" s="11" t="n">
        <x:v>10.8767</x:v>
      </x:c>
      <x:c r="G240" s="11" t="n">
        <x:v>1924.7961</x:v>
      </x:c>
      <x:c r="H240" s="11" t="n">
        <x:v>36.7509</x:v>
      </x:c>
      <x:c r="I240" s="11" t="n">
        <x:v>2311.1559</x:v>
      </x:c>
      <x:c r="J240" s="11" t="n">
        <x:v>3.1594</x:v>
      </x:c>
      <x:c r="K240" s="11" t="n">
        <x:v>4235.952</x:v>
      </x:c>
      <x:c r="L240" s="11" t="n">
        <x:v>50.787</x:v>
      </x:c>
      <x:c r="M240" s="11" t="n">
        <x:v>40.8938</x:v>
      </x:c>
      <x:c r="N240" s="1" t="str">
        <x:v>6898be28591c4e1abe73f83f56b307e4</x:v>
      </x:c>
      <x:c r="O240" s="1" t="str">
        <x:v>Admin Office - 1</x:v>
      </x:c>
      <x:c r="P240" s="1" t="n">
        <x:v>1</x:v>
      </x:c>
      <x:c r="Q240" s="1" t="str">
        <x:v>high_security_mode_logs</x:v>
      </x:c>
      <x:c r="R240" s="1" t="n">
        <x:v>67</x:v>
      </x:c>
      <x:c r="S240" s="1" t="str">
        <x:v>Successful entry</x:v>
      </x:c>
      <x:c r="T240" s="1" t="n">
        <x:v>1</x:v>
      </x:c>
      <x:c r="U240" s="5" t="str"/>
      <x:c r="V240" s="1" t="n">
        <x:v>1</x:v>
      </x:c>
      <x:c r="W240" s="1" t="n">
        <x:v>1</x:v>
      </x:c>
      <x:c r="X240" s="1" t="str">
        <x:v>GRANTED</x:v>
      </x:c>
      <x:c r="Y240" s="1" t="n">
        <x:f>IF(V240=1,IF(E240="GRANTED",IF(X240="GRANTED",1,0),IF(X240="DENIED",1,0)),0)</x:f>
        <x:v>1</x:v>
      </x:c>
    </x:row>
    <x:row r="241" ht="23" customHeight="1">
      <x:c r="A241" s="9" t="n">
        <x:v>46246.49240844908</x:v>
      </x:c>
      <x:c r="B241" s="1" t="str">
        <x:v>Maria Clara</x:v>
      </x:c>
      <x:c r="C241" s="1" t="str">
        <x:v>Entry</x:v>
      </x:c>
      <x:c r="D241" s="1" t="str">
        <x:v>HighSecurity</x:v>
      </x:c>
      <x:c r="E241" s="1" t="str">
        <x:v>GRANTED</x:v>
      </x:c>
      <x:c r="F241" s="11" t="n">
        <x:v>11.5762</x:v>
      </x:c>
      <x:c r="G241" s="11" t="n">
        <x:v>1869.8894</x:v>
      </x:c>
      <x:c r="H241" s="11" t="n">
        <x:v>39.3931</x:v>
      </x:c>
      <x:c r="I241" s="11" t="n">
        <x:v>6732.897</x:v>
      </x:c>
      <x:c r="J241" s="11" t="n">
        <x:v>2.7689</x:v>
      </x:c>
      <x:c r="K241" s="11" t="n">
        <x:v>8602.7864</x:v>
      </x:c>
      <x:c r="L241" s="11" t="n">
        <x:v>53.7382</x:v>
      </x:c>
      <x:c r="M241" s="11" t="n">
        <x:v>43.1042</x:v>
      </x:c>
      <x:c r="N241" s="1" t="str">
        <x:v>6898be28591c4e1abe73f83f56b307e4</x:v>
      </x:c>
      <x:c r="O241" s="1" t="str">
        <x:v>Admin Office - 1</x:v>
      </x:c>
      <x:c r="P241" s="1" t="n">
        <x:v>1</x:v>
      </x:c>
      <x:c r="Q241" s="1" t="str">
        <x:v>high_security_mode_logs</x:v>
      </x:c>
      <x:c r="R241" s="1" t="n">
        <x:v>68</x:v>
      </x:c>
      <x:c r="S241" s="1" t="str">
        <x:v>Successful entry</x:v>
      </x:c>
      <x:c r="T241" s="1" t="n">
        <x:v>1</x:v>
      </x:c>
      <x:c r="U241" s="5" t="str"/>
      <x:c r="V241" s="1" t="n">
        <x:v>1</x:v>
      </x:c>
      <x:c r="W241" s="1" t="n">
        <x:v>1</x:v>
      </x:c>
      <x:c r="X241" s="1" t="str">
        <x:v>GRANTED</x:v>
      </x:c>
      <x:c r="Y241" s="1" t="n">
        <x:f>IF(V241=1,IF(E241="GRANTED",IF(X241="GRANTED",1,0),IF(X241="DENIED",1,0)),0)</x:f>
        <x:v>1</x:v>
      </x:c>
    </x:row>
    <x:row r="242" ht="23" customHeight="1">
      <x:c r="A242" s="9" t="n">
        <x:v>46246.492236018516</x:v>
      </x:c>
      <x:c r="B242" s="1" t="str">
        <x:v>Juana Dela Cruz</x:v>
      </x:c>
      <x:c r="C242" s="1" t="str">
        <x:v>Entry</x:v>
      </x:c>
      <x:c r="D242" s="1" t="str">
        <x:v>HighSecurity</x:v>
      </x:c>
      <x:c r="E242" s="1" t="str">
        <x:v>GRANTED</x:v>
      </x:c>
      <x:c r="F242" s="11" t="n">
        <x:v>12.1926</x:v>
      </x:c>
      <x:c r="G242" s="11" t="n">
        <x:v>2969.3892</x:v>
      </x:c>
      <x:c r="H242" s="11" t="n">
        <x:v>37.6681</x:v>
      </x:c>
      <x:c r="I242" s="11" t="n">
        <x:v>2825.5251</x:v>
      </x:c>
      <x:c r="J242" s="11" t="n">
        <x:v>2.3051</x:v>
      </x:c>
      <x:c r="K242" s="11" t="n">
        <x:v>5794.9143</x:v>
      </x:c>
      <x:c r="L242" s="11" t="n">
        <x:v>52.1658</x:v>
      </x:c>
      <x:c r="M242" s="11" t="n">
        <x:v>41.3355</x:v>
      </x:c>
      <x:c r="N242" s="1" t="str">
        <x:v>6898be28591c4e1abe73f83f56b307e4</x:v>
      </x:c>
      <x:c r="O242" s="1" t="str">
        <x:v>Admin Office - 1</x:v>
      </x:c>
      <x:c r="P242" s="1" t="n">
        <x:v>1</x:v>
      </x:c>
      <x:c r="Q242" s="1" t="str">
        <x:v>high_security_mode_logs</x:v>
      </x:c>
      <x:c r="R242" s="1" t="n">
        <x:v>69</x:v>
      </x:c>
      <x:c r="S242" s="1" t="str">
        <x:v>Successful entry</x:v>
      </x:c>
      <x:c r="T242" s="1" t="n">
        <x:v>1</x:v>
      </x:c>
      <x:c r="U242" s="5" t="str"/>
      <x:c r="V242" s="1" t="n">
        <x:v>1</x:v>
      </x:c>
      <x:c r="W242" s="1" t="n">
        <x:v>1</x:v>
      </x:c>
      <x:c r="X242" s="1" t="str">
        <x:v>GRANTED</x:v>
      </x:c>
      <x:c r="Y242" s="1" t="n">
        <x:f>IF(V242=1,IF(E242="GRANTED",IF(X242="GRANTED",1,0),IF(X242="DENIED",1,0)),0)</x:f>
        <x:v>1</x:v>
      </x:c>
    </x:row>
    <x:row r="243" ht="23" customHeight="1">
      <x:c r="A243" s="12" t="n">
        <x:v>46246.49208340277</x:v>
      </x:c>
      <x:c r="B243" s="13" t="str">
        <x:v>Juana Dela Cruz</x:v>
      </x:c>
      <x:c r="C243" s="13" t="str">
        <x:v>Entry</x:v>
      </x:c>
      <x:c r="D243" s="13" t="str">
        <x:v>HighSecurity</x:v>
      </x:c>
      <x:c r="E243" s="13" t="str">
        <x:v>DENIED [QR_REPLACED_OR_MISMATCH]</x:v>
      </x:c>
      <x:c r="F243" s="14" t="n">
        <x:v>11.8984</x:v>
      </x:c>
      <x:c r="G243" s="14" t="n">
        <x:v>3850.1142</x:v>
      </x:c>
      <x:c r="H243" s="14" t="n">
        <x:v>37.9397</x:v>
      </x:c>
      <x:c r="I243" s="14" t="n">
        <x:v>3642.3098</x:v>
      </x:c>
      <x:c r="J243" s="14" t="n">
        <x:v>2.8032</x:v>
      </x:c>
      <x:c r="K243" s="14" t="n">
        <x:v>7492.424</x:v>
      </x:c>
      <x:c r="L243" s="14" t="n">
        <x:v>52.6413</x:v>
      </x:c>
      <x:c r="M243" s="14" t="n">
        <x:v>41.747</x:v>
      </x:c>
      <x:c r="N243" s="13" t="str">
        <x:v>6898be28591c4e1abe73f83f56b307e4</x:v>
      </x:c>
      <x:c r="O243" s="13" t="str">
        <x:v>Admin Office - 1</x:v>
      </x:c>
      <x:c r="P243" s="13" t="n">
        <x:v>1</x:v>
      </x:c>
      <x:c r="Q243" s="13" t="str">
        <x:v>high_security_mode_logs</x:v>
      </x:c>
      <x:c r="R243" s="13" t="n">
        <x:v>70</x:v>
      </x:c>
      <x:c r="S243" s="13" t="str">
        <x:v>Denied record</x:v>
      </x:c>
      <x:c r="T243" s="13"/>
      <x:c r="U243" s="15" t="str"/>
      <x:c r="V243" s="1" t="n">
        <x:v>1</x:v>
      </x:c>
      <x:c r="W243" s="1" t="n">
        <x:v>1</x:v>
      </x:c>
      <x:c r="X243" s="1" t="str">
        <x:v>DENIED</x:v>
      </x:c>
      <x:c r="Y243" s="1" t="n">
        <x:f>IF(V243=1,IF(E243="GRANTED",IF(X243="GRANTED",1,0),IF(X243="DENIED",1,0)),0)</x:f>
        <x:v>1</x:v>
      </x:c>
    </x:row>
    <x:row r="244" ht="23" customHeight="1">
      <x:c r="A244" s="9" t="n">
        <x:v>46246.4918879051</x:v>
      </x:c>
      <x:c r="B244" s="1" t="str">
        <x:v>Maria Dela Cruz</x:v>
      </x:c>
      <x:c r="C244" s="1" t="str">
        <x:v>Entry</x:v>
      </x:c>
      <x:c r="D244" s="1" t="str">
        <x:v>HighSecurity</x:v>
      </x:c>
      <x:c r="E244" s="1" t="str">
        <x:v>GRANTED</x:v>
      </x:c>
      <x:c r="F244" s="11" t="n">
        <x:v>11.8254</x:v>
      </x:c>
      <x:c r="G244" s="11" t="n">
        <x:v>5003.7845</x:v>
      </x:c>
      <x:c r="H244" s="11" t="n">
        <x:v>41.0659</x:v>
      </x:c>
      <x:c r="I244" s="11" t="n">
        <x:v>1480.6729</x:v>
      </x:c>
      <x:c r="J244" s="11" t="n">
        <x:v>2.5006</x:v>
      </x:c>
      <x:c r="K244" s="11" t="n">
        <x:v>6484.4574</x:v>
      </x:c>
      <x:c r="L244" s="11" t="n">
        <x:v>55.3919</x:v>
      </x:c>
      <x:c r="M244" s="11" t="n">
        <x:v>45.0356</x:v>
      </x:c>
      <x:c r="N244" s="1" t="str">
        <x:v>6898be28591c4e1abe73f83f56b307e4</x:v>
      </x:c>
      <x:c r="O244" s="1" t="str">
        <x:v>Admin Office - 1</x:v>
      </x:c>
      <x:c r="P244" s="1" t="n">
        <x:v>1</x:v>
      </x:c>
      <x:c r="Q244" s="1" t="str">
        <x:v>high_security_mode_logs</x:v>
      </x:c>
      <x:c r="R244" s="1" t="n">
        <x:v>71</x:v>
      </x:c>
      <x:c r="S244" s="1" t="str">
        <x:v>Successful entry</x:v>
      </x:c>
      <x:c r="T244" s="1" t="n">
        <x:v>1</x:v>
      </x:c>
      <x:c r="U244" s="5" t="str"/>
      <x:c r="V244" s="1" t="n">
        <x:v>1</x:v>
      </x:c>
      <x:c r="W244" s="1" t="n">
        <x:v>1</x:v>
      </x:c>
      <x:c r="X244" s="1" t="str">
        <x:v>GRANTED</x:v>
      </x:c>
      <x:c r="Y244" s="1" t="n">
        <x:f>IF(V244=1,IF(E244="GRANTED",IF(X244="GRANTED",1,0),IF(X244="DENIED",1,0)),0)</x:f>
        <x:v>1</x:v>
      </x:c>
    </x:row>
    <x:row r="245" ht="23" customHeight="1">
      <x:c r="A245" s="9" t="n">
        <x:v>46246.491739791665</x:v>
      </x:c>
      <x:c r="B245" s="1" t="str">
        <x:v>Basilio Magbanua</x:v>
      </x:c>
      <x:c r="C245" s="1" t="str">
        <x:v>Entry</x:v>
      </x:c>
      <x:c r="D245" s="1" t="str">
        <x:v>HighSecurity</x:v>
      </x:c>
      <x:c r="E245" s="1" t="str">
        <x:v>GRANTED</x:v>
      </x:c>
      <x:c r="F245" s="11" t="n">
        <x:v>12.5702</x:v>
      </x:c>
      <x:c r="G245" s="11" t="n">
        <x:v>2144.2912</x:v>
      </x:c>
      <x:c r="H245" s="11" t="n">
        <x:v>40.2944</x:v>
      </x:c>
      <x:c r="I245" s="11" t="n">
        <x:v>2044.0121</x:v>
      </x:c>
      <x:c r="J245" s="11" t="n">
        <x:v>2.3082</x:v>
      </x:c>
      <x:c r="K245" s="11" t="n">
        <x:v>4188.3033</x:v>
      </x:c>
      <x:c r="L245" s="11" t="n">
        <x:v>55.1728</x:v>
      </x:c>
      <x:c r="M245" s="11" t="n">
        <x:v>44.1285</x:v>
      </x:c>
      <x:c r="N245" s="1" t="str">
        <x:v>6898be28591c4e1abe73f83f56b307e4</x:v>
      </x:c>
      <x:c r="O245" s="1" t="str">
        <x:v>Admin Office - 1</x:v>
      </x:c>
      <x:c r="P245" s="1" t="n">
        <x:v>1</x:v>
      </x:c>
      <x:c r="Q245" s="1" t="str">
        <x:v>high_security_mode_logs</x:v>
      </x:c>
      <x:c r="R245" s="1" t="n">
        <x:v>72</x:v>
      </x:c>
      <x:c r="S245" s="1" t="str">
        <x:v>Successful entry</x:v>
      </x:c>
      <x:c r="T245" s="1" t="n">
        <x:v>1</x:v>
      </x:c>
      <x:c r="U245" s="5" t="str"/>
      <x:c r="V245" s="1" t="n">
        <x:v>1</x:v>
      </x:c>
      <x:c r="W245" s="1" t="n">
        <x:v>1</x:v>
      </x:c>
      <x:c r="X245" s="1" t="str">
        <x:v>GRANTED</x:v>
      </x:c>
      <x:c r="Y245" s="1" t="n">
        <x:f>IF(V245=1,IF(E245="GRANTED",IF(X245="GRANTED",1,0),IF(X245="DENIED",1,0)),0)</x:f>
        <x:v>1</x:v>
      </x:c>
    </x:row>
    <x:row r="246" ht="23" customHeight="1">
      <x:c r="A246" s="9" t="n">
        <x:v>46246.49161938658</x:v>
      </x:c>
      <x:c r="B246" s="1" t="str">
        <x:v>Bayani Dela Rosa</x:v>
      </x:c>
      <x:c r="C246" s="1" t="str">
        <x:v>Entry</x:v>
      </x:c>
      <x:c r="D246" s="1" t="str">
        <x:v>HighSecurity</x:v>
      </x:c>
      <x:c r="E246" s="1" t="str">
        <x:v>GRANTED</x:v>
      </x:c>
      <x:c r="F246" s="11" t="n">
        <x:v>9.5029</x:v>
      </x:c>
      <x:c r="G246" s="11" t="n">
        <x:v>2200.2078</x:v>
      </x:c>
      <x:c r="H246" s="11" t="n">
        <x:v>37.6775</x:v>
      </x:c>
      <x:c r="I246" s="11" t="n">
        <x:v>1360.8931</x:v>
      </x:c>
      <x:c r="J246" s="11" t="n">
        <x:v>2.2625</x:v>
      </x:c>
      <x:c r="K246" s="11" t="n">
        <x:v>3561.1009</x:v>
      </x:c>
      <x:c r="L246" s="11" t="n">
        <x:v>49.4429</x:v>
      </x:c>
      <x:c r="M246" s="11" t="n">
        <x:v>38.9862</x:v>
      </x:c>
      <x:c r="N246" s="1" t="str">
        <x:v>6898be28591c4e1abe73f83f56b307e4</x:v>
      </x:c>
      <x:c r="O246" s="1" t="str">
        <x:v>Admin Office - 1</x:v>
      </x:c>
      <x:c r="P246" s="1" t="n">
        <x:v>1</x:v>
      </x:c>
      <x:c r="Q246" s="1" t="str">
        <x:v>high_security_mode_logs</x:v>
      </x:c>
      <x:c r="R246" s="1" t="n">
        <x:v>73</x:v>
      </x:c>
      <x:c r="S246" s="1" t="str">
        <x:v>Successful entry</x:v>
      </x:c>
      <x:c r="T246" s="1" t="n">
        <x:v>1</x:v>
      </x:c>
      <x:c r="U246" s="5" t="str"/>
      <x:c r="V246" s="1" t="n">
        <x:v>1</x:v>
      </x:c>
      <x:c r="W246" s="1" t="n">
        <x:v>1</x:v>
      </x:c>
      <x:c r="X246" s="1" t="str">
        <x:v>GRANTED</x:v>
      </x:c>
      <x:c r="Y246" s="1" t="n">
        <x:f>IF(V246=1,IF(E246="GRANTED",IF(X246="GRANTED",1,0),IF(X246="DENIED",1,0)),0)</x:f>
        <x:v>1</x:v>
      </x:c>
    </x:row>
    <x:row r="247" ht="23" customHeight="1">
      <x:c r="A247" s="9" t="n">
        <x:v>46246.49152416667</x:v>
      </x:c>
      <x:c r="B247" s="1" t="str">
        <x:v>Jose Mari Bautista</x:v>
      </x:c>
      <x:c r="C247" s="1" t="str">
        <x:v>Entry</x:v>
      </x:c>
      <x:c r="D247" s="1" t="str">
        <x:v>HighSecurity</x:v>
      </x:c>
      <x:c r="E247" s="1" t="str">
        <x:v>GRANTED</x:v>
      </x:c>
      <x:c r="F247" s="11" t="n">
        <x:v>12.0386</x:v>
      </x:c>
      <x:c r="G247" s="11" t="n">
        <x:v>1649.6888</x:v>
      </x:c>
      <x:c r="H247" s="11" t="n">
        <x:v>40.2008</x:v>
      </x:c>
      <x:c r="I247" s="11" t="n">
        <x:v>3239.6114</x:v>
      </x:c>
      <x:c r="J247" s="11" t="n">
        <x:v>2.2457</x:v>
      </x:c>
      <x:c r="K247" s="11" t="n">
        <x:v>4889.3002</x:v>
      </x:c>
      <x:c r="L247" s="11" t="n">
        <x:v>54.4851</x:v>
      </x:c>
      <x:c r="M247" s="11" t="n">
        <x:v>43.866</x:v>
      </x:c>
      <x:c r="N247" s="1" t="str">
        <x:v>6898be28591c4e1abe73f83f56b307e4</x:v>
      </x:c>
      <x:c r="O247" s="1" t="str">
        <x:v>Admin Office - 1</x:v>
      </x:c>
      <x:c r="P247" s="1" t="n">
        <x:v>1</x:v>
      </x:c>
      <x:c r="Q247" s="1" t="str">
        <x:v>high_security_mode_logs</x:v>
      </x:c>
      <x:c r="R247" s="1" t="n">
        <x:v>74</x:v>
      </x:c>
      <x:c r="S247" s="1" t="str">
        <x:v>Successful entry</x:v>
      </x:c>
      <x:c r="T247" s="1" t="n">
        <x:v>1</x:v>
      </x:c>
      <x:c r="U247" s="5" t="str"/>
      <x:c r="V247" s="1" t="n">
        <x:v>1</x:v>
      </x:c>
      <x:c r="W247" s="1" t="n">
        <x:v>1</x:v>
      </x:c>
      <x:c r="X247" s="1" t="str">
        <x:v>GRANTED</x:v>
      </x:c>
      <x:c r="Y247" s="1" t="n">
        <x:f>IF(V247=1,IF(E247="GRANTED",IF(X247="GRANTED",1,0),IF(X247="DENIED",1,0)),0)</x:f>
        <x:v>1</x:v>
      </x:c>
    </x:row>
    <x:row r="248" ht="23" customHeight="1">
      <x:c r="A248" s="9" t="n">
        <x:v>46246.49141047454</x:v>
      </x:c>
      <x:c r="B248" s="1" t="str">
        <x:v>Angelito Fernandez</x:v>
      </x:c>
      <x:c r="C248" s="1" t="str">
        <x:v>Entry</x:v>
      </x:c>
      <x:c r="D248" s="1" t="str">
        <x:v>HighSecurity</x:v>
      </x:c>
      <x:c r="E248" s="1" t="str">
        <x:v>GRANTED</x:v>
      </x:c>
      <x:c r="F248" s="11" t="n">
        <x:v>11.1351</x:v>
      </x:c>
      <x:c r="G248" s="11" t="n">
        <x:v>1649.7336</x:v>
      </x:c>
      <x:c r="H248" s="11" t="n">
        <x:v>38.5237</x:v>
      </x:c>
      <x:c r="I248" s="11" t="n">
        <x:v>2421.8858</x:v>
      </x:c>
      <x:c r="J248" s="11" t="n">
        <x:v>2.5</x:v>
      </x:c>
      <x:c r="K248" s="11" t="n">
        <x:v>4071.6194</x:v>
      </x:c>
      <x:c r="L248" s="11" t="n">
        <x:v>52.1588</x:v>
      </x:c>
      <x:c r="M248" s="11" t="n">
        <x:v>42.0673</x:v>
      </x:c>
      <x:c r="N248" s="1" t="str">
        <x:v>6898be28591c4e1abe73f83f56b307e4</x:v>
      </x:c>
      <x:c r="O248" s="1" t="str">
        <x:v>Admin Office - 1</x:v>
      </x:c>
      <x:c r="P248" s="1" t="n">
        <x:v>1</x:v>
      </x:c>
      <x:c r="Q248" s="1" t="str">
        <x:v>high_security_mode_logs</x:v>
      </x:c>
      <x:c r="R248" s="1" t="n">
        <x:v>75</x:v>
      </x:c>
      <x:c r="S248" s="1" t="str">
        <x:v>Successful entry</x:v>
      </x:c>
      <x:c r="T248" s="1" t="n">
        <x:v>1</x:v>
      </x:c>
      <x:c r="U248" s="5" t="str"/>
      <x:c r="V248" s="1" t="n">
        <x:v>1</x:v>
      </x:c>
      <x:c r="W248" s="1" t="n">
        <x:v>1</x:v>
      </x:c>
      <x:c r="X248" s="1" t="str">
        <x:v>GRANTED</x:v>
      </x:c>
      <x:c r="Y248" s="1" t="n">
        <x:f>IF(V248=1,IF(E248="GRANTED",IF(X248="GRANTED",1,0),IF(X248="DENIED",1,0)),0)</x:f>
        <x:v>1</x:v>
      </x:c>
    </x:row>
    <x:row r="249" ht="23" customHeight="1">
      <x:c r="A249" s="9" t="n">
        <x:v>46246.491295451386</x:v>
      </x:c>
      <x:c r="B249" s="1" t="str">
        <x:v>Roberto Ramos</x:v>
      </x:c>
      <x:c r="C249" s="1" t="str">
        <x:v>Entry</x:v>
      </x:c>
      <x:c r="D249" s="1" t="str">
        <x:v>HighSecurity</x:v>
      </x:c>
      <x:c r="E249" s="1" t="str">
        <x:v>GRANTED</x:v>
      </x:c>
      <x:c r="F249" s="11" t="n">
        <x:v>11.3582</x:v>
      </x:c>
      <x:c r="G249" s="11" t="n">
        <x:v>2201.3012</x:v>
      </x:c>
      <x:c r="H249" s="11" t="n">
        <x:v>37.1452</x:v>
      </x:c>
      <x:c r="I249" s="11" t="n">
        <x:v>4579.5064</x:v>
      </x:c>
      <x:c r="J249" s="11" t="n">
        <x:v>2.4661</x:v>
      </x:c>
      <x:c r="K249" s="11" t="n">
        <x:v>6780.8076</x:v>
      </x:c>
      <x:c r="L249" s="11" t="n">
        <x:v>50.9695</x:v>
      </x:c>
      <x:c r="M249" s="11" t="n">
        <x:v>41.1205</x:v>
      </x:c>
      <x:c r="N249" s="1" t="str">
        <x:v>6898be28591c4e1abe73f83f56b307e4</x:v>
      </x:c>
      <x:c r="O249" s="1" t="str">
        <x:v>Admin Office - 1</x:v>
      </x:c>
      <x:c r="P249" s="1" t="n">
        <x:v>1</x:v>
      </x:c>
      <x:c r="Q249" s="1" t="str">
        <x:v>high_security_mode_logs</x:v>
      </x:c>
      <x:c r="R249" s="1" t="n">
        <x:v>76</x:v>
      </x:c>
      <x:c r="S249" s="1" t="str">
        <x:v>Successful entry</x:v>
      </x:c>
      <x:c r="T249" s="1" t="n">
        <x:v>1</x:v>
      </x:c>
      <x:c r="U249" s="5" t="str"/>
      <x:c r="V249" s="1" t="n">
        <x:v>1</x:v>
      </x:c>
      <x:c r="W249" s="1" t="n">
        <x:v>1</x:v>
      </x:c>
      <x:c r="X249" s="1" t="str">
        <x:v>GRANTED</x:v>
      </x:c>
      <x:c r="Y249" s="1" t="n">
        <x:f>IF(V249=1,IF(E249="GRANTED",IF(X249="GRANTED",1,0),IF(X249="DENIED",1,0)),0)</x:f>
        <x:v>1</x:v>
      </x:c>
    </x:row>
    <x:row r="250" ht="23" customHeight="1">
      <x:c r="A250" s="9" t="n">
        <x:v>46246.49115065973</x:v>
      </x:c>
      <x:c r="B250" s="1" t="str">
        <x:v>Juanito Delos Santos</x:v>
      </x:c>
      <x:c r="C250" s="1" t="str">
        <x:v>Entry</x:v>
      </x:c>
      <x:c r="D250" s="1" t="str">
        <x:v>HighSecurity</x:v>
      </x:c>
      <x:c r="E250" s="1" t="str">
        <x:v>GRANTED</x:v>
      </x:c>
      <x:c r="F250" s="11" t="n">
        <x:v>13.0227</x:v>
      </x:c>
      <x:c r="G250" s="11" t="n">
        <x:v>1540.1891</x:v>
      </x:c>
      <x:c r="H250" s="11" t="n">
        <x:v>38.3093</x:v>
      </x:c>
      <x:c r="I250" s="11" t="n">
        <x:v>4158.9881</x:v>
      </x:c>
      <x:c r="J250" s="11" t="n">
        <x:v>2.4821</x:v>
      </x:c>
      <x:c r="K250" s="11" t="n">
        <x:v>5699.1772</x:v>
      </x:c>
      <x:c r="L250" s="11" t="n">
        <x:v>53.8141</x:v>
      </x:c>
      <x:c r="M250" s="11" t="n">
        <x:v>44.443</x:v>
      </x:c>
      <x:c r="N250" s="1" t="str">
        <x:v>6898be28591c4e1abe73f83f56b307e4</x:v>
      </x:c>
      <x:c r="O250" s="1" t="str">
        <x:v>Admin Office - 1</x:v>
      </x:c>
      <x:c r="P250" s="1" t="n">
        <x:v>1</x:v>
      </x:c>
      <x:c r="Q250" s="1" t="str">
        <x:v>high_security_mode_logs</x:v>
      </x:c>
      <x:c r="R250" s="1" t="n">
        <x:v>77</x:v>
      </x:c>
      <x:c r="S250" s="1" t="str">
        <x:v>Successful entry</x:v>
      </x:c>
      <x:c r="T250" s="1" t="n">
        <x:v>1</x:v>
      </x:c>
      <x:c r="U250" s="5" t="str"/>
      <x:c r="V250" s="1" t="n">
        <x:v>1</x:v>
      </x:c>
      <x:c r="W250" s="1" t="n">
        <x:v>1</x:v>
      </x:c>
      <x:c r="X250" s="1" t="str">
        <x:v>GRANTED</x:v>
      </x:c>
      <x:c r="Y250" s="1" t="n">
        <x:f>IF(V250=1,IF(E250="GRANTED",IF(X250="GRANTED",1,0),IF(X250="DENIED",1,0)),0)</x:f>
        <x:v>1</x:v>
      </x:c>
    </x:row>
    <x:row r="251" ht="23" customHeight="1">
      <x:c r="A251" s="9" t="n">
        <x:v>46246.491023078706</x:v>
      </x:c>
      <x:c r="B251" s="1" t="str">
        <x:v>[TEMP] Manuel Mendoza</x:v>
      </x:c>
      <x:c r="C251" s="1" t="str">
        <x:v>Entry</x:v>
      </x:c>
      <x:c r="D251" s="1" t="str">
        <x:v>HighSecurity</x:v>
      </x:c>
      <x:c r="E251" s="1" t="str">
        <x:v>GRANTED</x:v>
      </x:c>
      <x:c r="F251" s="11" t="n">
        <x:v>12.1309</x:v>
      </x:c>
      <x:c r="G251" s="11" t="n">
        <x:v>1760.1259</x:v>
      </x:c>
      <x:c r="H251" s="11" t="n">
        <x:v>38.0521</x:v>
      </x:c>
      <x:c r="I251" s="11" t="n">
        <x:v>3626.1503</x:v>
      </x:c>
      <x:c r="J251" s="11" t="n">
        <x:v>2.5611</x:v>
      </x:c>
      <x:c r="K251" s="11" t="n">
        <x:v>5386.2762</x:v>
      </x:c>
      <x:c r="L251" s="11" t="n">
        <x:v>52.7441</x:v>
      </x:c>
      <x:c r="M251" s="11" t="n">
        <x:v>41.984</x:v>
      </x:c>
      <x:c r="N251" s="1" t="str">
        <x:v>6898be28591c4e1abe73f83f56b307e4</x:v>
      </x:c>
      <x:c r="O251" s="1" t="str">
        <x:v>Admin Office - 1</x:v>
      </x:c>
      <x:c r="P251" s="1" t="n">
        <x:v>1</x:v>
      </x:c>
      <x:c r="Q251" s="1" t="str">
        <x:v>high_security_mode_logs</x:v>
      </x:c>
      <x:c r="R251" s="1" t="n">
        <x:v>78</x:v>
      </x:c>
      <x:c r="S251" s="1" t="str">
        <x:v>Successful entry</x:v>
      </x:c>
      <x:c r="T251" s="1" t="n">
        <x:v>1</x:v>
      </x:c>
      <x:c r="U251" s="5" t="str"/>
      <x:c r="V251" s="1" t="n">
        <x:v>1</x:v>
      </x:c>
      <x:c r="W251" s="1" t="n">
        <x:v>1</x:v>
      </x:c>
      <x:c r="X251" s="1" t="str">
        <x:v>GRANTED</x:v>
      </x:c>
      <x:c r="Y251" s="1" t="n">
        <x:f>IF(V251=1,IF(E251="GRANTED",IF(X251="GRANTED",1,0),IF(X251="DENIED",1,0)),0)</x:f>
        <x:v>1</x:v>
      </x:c>
    </x:row>
    <x:row r="252" ht="23" customHeight="1">
      <x:c r="A252" s="9" t="n">
        <x:v>46246.49088805556</x:v>
      </x:c>
      <x:c r="B252" s="1" t="str">
        <x:v>Francisco Garcia</x:v>
      </x:c>
      <x:c r="C252" s="1" t="str">
        <x:v>Entry</x:v>
      </x:c>
      <x:c r="D252" s="1" t="str">
        <x:v>HighSecurity</x:v>
      </x:c>
      <x:c r="E252" s="1" t="str">
        <x:v>GRANTED</x:v>
      </x:c>
      <x:c r="F252" s="11" t="n">
        <x:v>10.5358</x:v>
      </x:c>
      <x:c r="G252" s="11" t="n">
        <x:v>2144.9561</x:v>
      </x:c>
      <x:c r="H252" s="11" t="n">
        <x:v>38.131</x:v>
      </x:c>
      <x:c r="I252" s="11" t="n">
        <x:v>2994.6639</x:v>
      </x:c>
      <x:c r="J252" s="11" t="n">
        <x:v>2.3234</x:v>
      </x:c>
      <x:c r="K252" s="11" t="n">
        <x:v>5139.62</x:v>
      </x:c>
      <x:c r="L252" s="11" t="n">
        <x:v>50.9902</x:v>
      </x:c>
      <x:c r="M252" s="11" t="n">
        <x:v>41.7199</x:v>
      </x:c>
      <x:c r="N252" s="1" t="str">
        <x:v>6898be28591c4e1abe73f83f56b307e4</x:v>
      </x:c>
      <x:c r="O252" s="1" t="str">
        <x:v>Admin Office - 1</x:v>
      </x:c>
      <x:c r="P252" s="1" t="n">
        <x:v>1</x:v>
      </x:c>
      <x:c r="Q252" s="1" t="str">
        <x:v>high_security_mode_logs</x:v>
      </x:c>
      <x:c r="R252" s="1" t="n">
        <x:v>79</x:v>
      </x:c>
      <x:c r="S252" s="1" t="str">
        <x:v>Successful entry</x:v>
      </x:c>
      <x:c r="T252" s="1" t="n">
        <x:v>1</x:v>
      </x:c>
      <x:c r="U252" s="5" t="str"/>
      <x:c r="V252" s="1" t="n">
        <x:v>1</x:v>
      </x:c>
      <x:c r="W252" s="1" t="n">
        <x:v>1</x:v>
      </x:c>
      <x:c r="X252" s="1" t="str">
        <x:v>GRANTED</x:v>
      </x:c>
      <x:c r="Y252" s="1" t="n">
        <x:f>IF(V252=1,IF(E252="GRANTED",IF(X252="GRANTED",1,0),IF(X252="DENIED",1,0)),0)</x:f>
        <x:v>1</x:v>
      </x:c>
    </x:row>
    <x:row r="253" ht="23" customHeight="1">
      <x:c r="A253" s="9" t="n">
        <x:v>46246.49077023148</x:v>
      </x:c>
      <x:c r="B253" s="1" t="str">
        <x:v>[TEMP] Pedro Reyes</x:v>
      </x:c>
      <x:c r="C253" s="1" t="str">
        <x:v>Entry</x:v>
      </x:c>
      <x:c r="D253" s="1" t="str">
        <x:v>HighSecurity</x:v>
      </x:c>
      <x:c r="E253" s="1" t="str">
        <x:v>GRANTED</x:v>
      </x:c>
      <x:c r="F253" s="11" t="n">
        <x:v>12.2043</x:v>
      </x:c>
      <x:c r="G253" s="11" t="n">
        <x:v>2364.9687</x:v>
      </x:c>
      <x:c r="H253" s="11" t="n">
        <x:v>37.386</x:v>
      </x:c>
      <x:c r="I253" s="11" t="n">
        <x:v>2840.1087</x:v>
      </x:c>
      <x:c r="J253" s="11" t="n">
        <x:v>2.3332</x:v>
      </x:c>
      <x:c r="K253" s="11" t="n">
        <x:v>5205.0774</x:v>
      </x:c>
      <x:c r="L253" s="11" t="n">
        <x:v>51.9235</x:v>
      </x:c>
      <x:c r="M253" s="11" t="n">
        <x:v>43.0632</x:v>
      </x:c>
      <x:c r="N253" s="1" t="str">
        <x:v>6898be28591c4e1abe73f83f56b307e4</x:v>
      </x:c>
      <x:c r="O253" s="1" t="str">
        <x:v>Admin Office - 1</x:v>
      </x:c>
      <x:c r="P253" s="1" t="n">
        <x:v>1</x:v>
      </x:c>
      <x:c r="Q253" s="1" t="str">
        <x:v>high_security_mode_logs</x:v>
      </x:c>
      <x:c r="R253" s="1" t="n">
        <x:v>80</x:v>
      </x:c>
      <x:c r="S253" s="1" t="str">
        <x:v>Successful entry</x:v>
      </x:c>
      <x:c r="T253" s="1" t="n">
        <x:v>1</x:v>
      </x:c>
      <x:c r="U253" s="5" t="str"/>
      <x:c r="V253" s="1" t="n">
        <x:v>1</x:v>
      </x:c>
      <x:c r="W253" s="1" t="n">
        <x:v>1</x:v>
      </x:c>
      <x:c r="X253" s="1" t="str">
        <x:v>GRANTED</x:v>
      </x:c>
      <x:c r="Y253" s="1" t="n">
        <x:f>IF(V253=1,IF(E253="GRANTED",IF(X253="GRANTED",1,0),IF(X253="DENIED",1,0)),0)</x:f>
        <x:v>1</x:v>
      </x:c>
    </x:row>
    <x:row r="254" ht="23" customHeight="1">
      <x:c r="A254" s="9" t="n">
        <x:v>46246.49064422454</x:v>
      </x:c>
      <x:c r="B254" s="1" t="str">
        <x:v>[TEMP] Jose Santos</x:v>
      </x:c>
      <x:c r="C254" s="1" t="str">
        <x:v>Entry</x:v>
      </x:c>
      <x:c r="D254" s="1" t="str">
        <x:v>HighSecurity</x:v>
      </x:c>
      <x:c r="E254" s="1" t="str">
        <x:v>GRANTED</x:v>
      </x:c>
      <x:c r="F254" s="11" t="n">
        <x:v>11.2171</x:v>
      </x:c>
      <x:c r="G254" s="11" t="n">
        <x:v>3245.6574</x:v>
      </x:c>
      <x:c r="H254" s="11" t="n">
        <x:v>39.9912</x:v>
      </x:c>
      <x:c r="I254" s="11" t="n">
        <x:v>2451.9428</x:v>
      </x:c>
      <x:c r="J254" s="11" t="n">
        <x:v>2.6672</x:v>
      </x:c>
      <x:c r="K254" s="11" t="n">
        <x:v>5697.6002</x:v>
      </x:c>
      <x:c r="L254" s="11" t="n">
        <x:v>53.8755</x:v>
      </x:c>
      <x:c r="M254" s="11" t="n">
        <x:v>44.4799</x:v>
      </x:c>
      <x:c r="N254" s="1" t="str">
        <x:v>6898be28591c4e1abe73f83f56b307e4</x:v>
      </x:c>
      <x:c r="O254" s="1" t="str">
        <x:v>Admin Office - 1</x:v>
      </x:c>
      <x:c r="P254" s="1" t="n">
        <x:v>1</x:v>
      </x:c>
      <x:c r="Q254" s="1" t="str">
        <x:v>high_security_mode_logs</x:v>
      </x:c>
      <x:c r="R254" s="1" t="n">
        <x:v>81</x:v>
      </x:c>
      <x:c r="S254" s="1" t="str">
        <x:v>Successful entry</x:v>
      </x:c>
      <x:c r="T254" s="1" t="n">
        <x:v>1</x:v>
      </x:c>
      <x:c r="U254" s="5" t="str"/>
      <x:c r="V254" s="1" t="n">
        <x:v>1</x:v>
      </x:c>
      <x:c r="W254" s="1" t="n">
        <x:v>1</x:v>
      </x:c>
      <x:c r="X254" s="1" t="str">
        <x:v>GRANTED</x:v>
      </x:c>
      <x:c r="Y254" s="1" t="n">
        <x:f>IF(V254=1,IF(E254="GRANTED",IF(X254="GRANTED",1,0),IF(X254="DENIED",1,0)),0)</x:f>
        <x:v>1</x:v>
      </x:c>
    </x:row>
    <x:row r="255" ht="23" customHeight="1">
      <x:c r="A255" s="9" t="n">
        <x:v>46246.49047979167</x:v>
      </x:c>
      <x:c r="B255" s="1" t="str">
        <x:v>[TEMP] Juan Dela Cruz</x:v>
      </x:c>
      <x:c r="C255" s="1" t="str">
        <x:v>Entry</x:v>
      </x:c>
      <x:c r="D255" s="1" t="str">
        <x:v>HighSecurity</x:v>
      </x:c>
      <x:c r="E255" s="1" t="str">
        <x:v>GRANTED</x:v>
      </x:c>
      <x:c r="F255" s="11" t="n">
        <x:v>11.0423</x:v>
      </x:c>
      <x:c r="G255" s="11" t="n">
        <x:v>2364.4221</x:v>
      </x:c>
      <x:c r="H255" s="11" t="n">
        <x:v>37.4702</x:v>
      </x:c>
      <x:c r="I255" s="11" t="n">
        <x:v>2620.6918</x:v>
      </x:c>
      <x:c r="J255" s="11" t="n">
        <x:v>3.4947</x:v>
      </x:c>
      <x:c r="K255" s="11" t="n">
        <x:v>4985.1139</x:v>
      </x:c>
      <x:c r="L255" s="11" t="n">
        <x:v>52.0072</x:v>
      </x:c>
      <x:c r="M255" s="11" t="n">
        <x:v>39.0732</x:v>
      </x:c>
      <x:c r="N255" s="1" t="str">
        <x:v>6898be28591c4e1abe73f83f56b307e4</x:v>
      </x:c>
      <x:c r="O255" s="1" t="str">
        <x:v>Admin Office - 1</x:v>
      </x:c>
      <x:c r="P255" s="1" t="n">
        <x:v>1</x:v>
      </x:c>
      <x:c r="Q255" s="1" t="str">
        <x:v>high_security_mode_logs</x:v>
      </x:c>
      <x:c r="R255" s="1" t="n">
        <x:v>82</x:v>
      </x:c>
      <x:c r="S255" s="1" t="str">
        <x:v>Successful entry</x:v>
      </x:c>
      <x:c r="T255" s="1" t="n">
        <x:v>1</x:v>
      </x:c>
      <x:c r="U255" s="5" t="str"/>
      <x:c r="V255" s="1" t="n">
        <x:v>1</x:v>
      </x:c>
      <x:c r="W255" s="1" t="n">
        <x:v>1</x:v>
      </x:c>
      <x:c r="X255" s="1" t="str">
        <x:v>GRANTED</x:v>
      </x:c>
      <x:c r="Y255" s="1" t="n">
        <x:f>IF(V255=1,IF(E255="GRANTED",IF(X255="GRANTED",1,0),IF(X255="DENIED",1,0)),0)</x:f>
        <x:v>1</x:v>
      </x:c>
    </x:row>
    <x:row r="256" ht="23" customHeight="1">
      <x:c r="A256" s="9" t="n">
        <x:v>46247.44238626157</x:v>
      </x:c>
      <x:c r="B256" s="1" t="str">
        <x:v>[TEMP] Juan Dela Cruz</x:v>
      </x:c>
      <x:c r="C256" s="1" t="str">
        <x:v>Exit</x:v>
      </x:c>
      <x:c r="D256" s="1" t="str">
        <x:v>Fast</x:v>
      </x:c>
      <x:c r="E256" s="1" t="str">
        <x:v>GRANTED</x:v>
      </x:c>
      <x:c r="F256" s="11" t="n">
        <x:v>11.8488</x:v>
      </x:c>
      <x:c r="G256" s="11" t="str">
        <x:v>N/A (Bypassed)</x:v>
      </x:c>
      <x:c r="H256" s="11" t="str">
        <x:v>N/A (Bypassed)</x:v>
      </x:c>
      <x:c r="I256" s="11" t="str">
        <x:v>N/A (Bypassed)</x:v>
      </x:c>
      <x:c r="J256" s="11" t="str">
        <x:v>N/A (Bypassed)</x:v>
      </x:c>
      <x:c r="K256" s="11" t="str">
        <x:v>N/A</x:v>
      </x:c>
      <x:c r="L256" s="11" t="n">
        <x:v>11.8488</x:v>
      </x:c>
      <x:c r="M256" s="11" t="n">
        <x:v>2.6586</x:v>
      </x:c>
      <x:c r="N256" s="1" t="str">
        <x:v>6898be28591c4e1abe73f83f56b307e4</x:v>
      </x:c>
      <x:c r="O256" s="1" t="str">
        <x:v>Admin Office - 1</x:v>
      </x:c>
      <x:c r="P256" s="1" t="n">
        <x:v>2</x:v>
      </x:c>
      <x:c r="Q256" s="1" t="str">
        <x:v>fast_mode_logs</x:v>
      </x:c>
      <x:c r="R256" s="1" t="n">
        <x:v>2</x:v>
      </x:c>
      <x:c r="S256" s="1" t="str">
        <x:v>Reset exit</x:v>
      </x:c>
      <x:c r="T256" s="1"/>
      <x:c r="U256" s="5" t="str"/>
      <x:c r="V256" s="1" t="n">
        <x:v>0</x:v>
      </x:c>
      <x:c r="W256" s="1" t="n">
        <x:v>0</x:v>
      </x:c>
      <x:c r="X256" s="1" t="str">
        <x:v>Not applicable</x:v>
      </x:c>
      <x:c r="Y256" s="1" t="n">
        <x:f>IF(V256=1,IF(E256="GRANTED",IF(X256="GRANTED",1,0),IF(X256="DENIED",1,0)),0)</x:f>
        <x:v>0</x:v>
      </x:c>
    </x:row>
    <x:row r="257" ht="23" customHeight="1">
      <x:c r="A257" s="9" t="n">
        <x:v>46247.44236457176</x:v>
      </x:c>
      <x:c r="B257" s="1" t="str">
        <x:v>[TEMP] Jose Santos</x:v>
      </x:c>
      <x:c r="C257" s="1" t="str">
        <x:v>Exit</x:v>
      </x:c>
      <x:c r="D257" s="1" t="str">
        <x:v>Fast</x:v>
      </x:c>
      <x:c r="E257" s="1" t="str">
        <x:v>GRANTED</x:v>
      </x:c>
      <x:c r="F257" s="11" t="n">
        <x:v>9.8785</x:v>
      </x:c>
      <x:c r="G257" s="11" t="str">
        <x:v>N/A (Bypassed)</x:v>
      </x:c>
      <x:c r="H257" s="11" t="str">
        <x:v>N/A (Bypassed)</x:v>
      </x:c>
      <x:c r="I257" s="11" t="str">
        <x:v>N/A (Bypassed)</x:v>
      </x:c>
      <x:c r="J257" s="11" t="str">
        <x:v>N/A (Bypassed)</x:v>
      </x:c>
      <x:c r="K257" s="11" t="str">
        <x:v>N/A</x:v>
      </x:c>
      <x:c r="L257" s="11" t="n">
        <x:v>9.8785</x:v>
      </x:c>
      <x:c r="M257" s="11" t="n">
        <x:v>2.5685</x:v>
      </x:c>
      <x:c r="N257" s="1" t="str">
        <x:v>6898be28591c4e1abe73f83f56b307e4</x:v>
      </x:c>
      <x:c r="O257" s="1" t="str">
        <x:v>Admin Office - 1</x:v>
      </x:c>
      <x:c r="P257" s="1" t="n">
        <x:v>2</x:v>
      </x:c>
      <x:c r="Q257" s="1" t="str">
        <x:v>fast_mode_logs</x:v>
      </x:c>
      <x:c r="R257" s="1" t="n">
        <x:v>3</x:v>
      </x:c>
      <x:c r="S257" s="1" t="str">
        <x:v>Reset exit</x:v>
      </x:c>
      <x:c r="T257" s="1"/>
      <x:c r="U257" s="5" t="str"/>
      <x:c r="V257" s="1" t="n">
        <x:v>0</x:v>
      </x:c>
      <x:c r="W257" s="1" t="n">
        <x:v>0</x:v>
      </x:c>
      <x:c r="X257" s="1" t="str">
        <x:v>Not applicable</x:v>
      </x:c>
      <x:c r="Y257" s="1" t="n">
        <x:f>IF(V257=1,IF(E257="GRANTED",IF(X257="GRANTED",1,0),IF(X257="DENIED",1,0)),0)</x:f>
        <x:v>0</x:v>
      </x:c>
    </x:row>
    <x:row r="258" ht="23" customHeight="1">
      <x:c r="A258" s="9" t="n">
        <x:v>46247.44234417824</x:v>
      </x:c>
      <x:c r="B258" s="1" t="str">
        <x:v>[TEMP] Pedro Reyes</x:v>
      </x:c>
      <x:c r="C258" s="1" t="str">
        <x:v>Exit</x:v>
      </x:c>
      <x:c r="D258" s="1" t="str">
        <x:v>Fast</x:v>
      </x:c>
      <x:c r="E258" s="1" t="str">
        <x:v>GRANTED</x:v>
      </x:c>
      <x:c r="F258" s="11" t="n">
        <x:v>10.3559</x:v>
      </x:c>
      <x:c r="G258" s="11" t="str">
        <x:v>N/A (Bypassed)</x:v>
      </x:c>
      <x:c r="H258" s="11" t="str">
        <x:v>N/A (Bypassed)</x:v>
      </x:c>
      <x:c r="I258" s="11" t="str">
        <x:v>N/A (Bypassed)</x:v>
      </x:c>
      <x:c r="J258" s="11" t="str">
        <x:v>N/A (Bypassed)</x:v>
      </x:c>
      <x:c r="K258" s="11" t="str">
        <x:v>N/A</x:v>
      </x:c>
      <x:c r="L258" s="11" t="n">
        <x:v>10.3559</x:v>
      </x:c>
      <x:c r="M258" s="11" t="n">
        <x:v>2.5947</x:v>
      </x:c>
      <x:c r="N258" s="1" t="str">
        <x:v>6898be28591c4e1abe73f83f56b307e4</x:v>
      </x:c>
      <x:c r="O258" s="1" t="str">
        <x:v>Admin Office - 1</x:v>
      </x:c>
      <x:c r="P258" s="1" t="n">
        <x:v>2</x:v>
      </x:c>
      <x:c r="Q258" s="1" t="str">
        <x:v>fast_mode_logs</x:v>
      </x:c>
      <x:c r="R258" s="1" t="n">
        <x:v>4</x:v>
      </x:c>
      <x:c r="S258" s="1" t="str">
        <x:v>Reset exit</x:v>
      </x:c>
      <x:c r="T258" s="1"/>
      <x:c r="U258" s="5" t="str"/>
      <x:c r="V258" s="1" t="n">
        <x:v>0</x:v>
      </x:c>
      <x:c r="W258" s="1" t="n">
        <x:v>0</x:v>
      </x:c>
      <x:c r="X258" s="1" t="str">
        <x:v>Not applicable</x:v>
      </x:c>
      <x:c r="Y258" s="1" t="n">
        <x:f>IF(V258=1,IF(E258="GRANTED",IF(X258="GRANTED",1,0),IF(X258="DENIED",1,0)),0)</x:f>
        <x:v>0</x:v>
      </x:c>
    </x:row>
    <x:row r="259" ht="23" customHeight="1">
      <x:c r="A259" s="9" t="n">
        <x:v>46247.442323043986</x:v>
      </x:c>
      <x:c r="B259" s="1" t="str">
        <x:v>Francisco Garcia</x:v>
      </x:c>
      <x:c r="C259" s="1" t="str">
        <x:v>Exit</x:v>
      </x:c>
      <x:c r="D259" s="1" t="str">
        <x:v>Fast</x:v>
      </x:c>
      <x:c r="E259" s="1" t="str">
        <x:v>GRANTED</x:v>
      </x:c>
      <x:c r="F259" s="11" t="n">
        <x:v>11.4258</x:v>
      </x:c>
      <x:c r="G259" s="11" t="str">
        <x:v>N/A (Bypassed)</x:v>
      </x:c>
      <x:c r="H259" s="11" t="str">
        <x:v>N/A (Bypassed)</x:v>
      </x:c>
      <x:c r="I259" s="11" t="str">
        <x:v>N/A (Bypassed)</x:v>
      </x:c>
      <x:c r="J259" s="11" t="str">
        <x:v>N/A (Bypassed)</x:v>
      </x:c>
      <x:c r="K259" s="11" t="str">
        <x:v>N/A</x:v>
      </x:c>
      <x:c r="L259" s="11" t="n">
        <x:v>11.4258</x:v>
      </x:c>
      <x:c r="M259" s="11" t="n">
        <x:v>2.5384</x:v>
      </x:c>
      <x:c r="N259" s="1" t="str">
        <x:v>6898be28591c4e1abe73f83f56b307e4</x:v>
      </x:c>
      <x:c r="O259" s="1" t="str">
        <x:v>Admin Office - 1</x:v>
      </x:c>
      <x:c r="P259" s="1" t="n">
        <x:v>2</x:v>
      </x:c>
      <x:c r="Q259" s="1" t="str">
        <x:v>fast_mode_logs</x:v>
      </x:c>
      <x:c r="R259" s="1" t="n">
        <x:v>5</x:v>
      </x:c>
      <x:c r="S259" s="1" t="str">
        <x:v>Reset exit</x:v>
      </x:c>
      <x:c r="T259" s="1"/>
      <x:c r="U259" s="5" t="str"/>
      <x:c r="V259" s="1" t="n">
        <x:v>0</x:v>
      </x:c>
      <x:c r="W259" s="1" t="n">
        <x:v>0</x:v>
      </x:c>
      <x:c r="X259" s="1" t="str">
        <x:v>Not applicable</x:v>
      </x:c>
      <x:c r="Y259" s="1" t="n">
        <x:f>IF(V259=1,IF(E259="GRANTED",IF(X259="GRANTED",1,0),IF(X259="DENIED",1,0)),0)</x:f>
        <x:v>0</x:v>
      </x:c>
    </x:row>
    <x:row r="260" ht="23" customHeight="1">
      <x:c r="A260" s="9" t="n">
        <x:v>46247.44230318287</x:v>
      </x:c>
      <x:c r="B260" s="1" t="str">
        <x:v>[TEMP] Manuel Mendoza</x:v>
      </x:c>
      <x:c r="C260" s="1" t="str">
        <x:v>Exit</x:v>
      </x:c>
      <x:c r="D260" s="1" t="str">
        <x:v>Fast</x:v>
      </x:c>
      <x:c r="E260" s="1" t="str">
        <x:v>GRANTED</x:v>
      </x:c>
      <x:c r="F260" s="11" t="n">
        <x:v>12.7291</x:v>
      </x:c>
      <x:c r="G260" s="11" t="str">
        <x:v>N/A (Bypassed)</x:v>
      </x:c>
      <x:c r="H260" s="11" t="str">
        <x:v>N/A (Bypassed)</x:v>
      </x:c>
      <x:c r="I260" s="11" t="str">
        <x:v>N/A (Bypassed)</x:v>
      </x:c>
      <x:c r="J260" s="11" t="str">
        <x:v>N/A (Bypassed)</x:v>
      </x:c>
      <x:c r="K260" s="11" t="str">
        <x:v>N/A</x:v>
      </x:c>
      <x:c r="L260" s="11" t="n">
        <x:v>12.7291</x:v>
      </x:c>
      <x:c r="M260" s="11" t="n">
        <x:v>2.6731</x:v>
      </x:c>
      <x:c r="N260" s="1" t="str">
        <x:v>6898be28591c4e1abe73f83f56b307e4</x:v>
      </x:c>
      <x:c r="O260" s="1" t="str">
        <x:v>Admin Office - 1</x:v>
      </x:c>
      <x:c r="P260" s="1" t="n">
        <x:v>2</x:v>
      </x:c>
      <x:c r="Q260" s="1" t="str">
        <x:v>fast_mode_logs</x:v>
      </x:c>
      <x:c r="R260" s="1" t="n">
        <x:v>6</x:v>
      </x:c>
      <x:c r="S260" s="1" t="str">
        <x:v>Reset exit</x:v>
      </x:c>
      <x:c r="T260" s="1"/>
      <x:c r="U260" s="5" t="str"/>
      <x:c r="V260" s="1" t="n">
        <x:v>0</x:v>
      </x:c>
      <x:c r="W260" s="1" t="n">
        <x:v>0</x:v>
      </x:c>
      <x:c r="X260" s="1" t="str">
        <x:v>Not applicable</x:v>
      </x:c>
      <x:c r="Y260" s="1" t="n">
        <x:f>IF(V260=1,IF(E260="GRANTED",IF(X260="GRANTED",1,0),IF(X260="DENIED",1,0)),0)</x:f>
        <x:v>0</x:v>
      </x:c>
    </x:row>
    <x:row r="261" ht="23" customHeight="1">
      <x:c r="A261" s="9" t="n">
        <x:v>46247.44226951389</x:v>
      </x:c>
      <x:c r="B261" s="1" t="str">
        <x:v>Juanito Delos Santos</x:v>
      </x:c>
      <x:c r="C261" s="1" t="str">
        <x:v>Exit</x:v>
      </x:c>
      <x:c r="D261" s="1" t="str">
        <x:v>Fast</x:v>
      </x:c>
      <x:c r="E261" s="1" t="str">
        <x:v>GRANTED</x:v>
      </x:c>
      <x:c r="F261" s="11" t="n">
        <x:v>10.2546</x:v>
      </x:c>
      <x:c r="G261" s="11" t="str">
        <x:v>N/A (Bypassed)</x:v>
      </x:c>
      <x:c r="H261" s="11" t="str">
        <x:v>N/A (Bypassed)</x:v>
      </x:c>
      <x:c r="I261" s="11" t="str">
        <x:v>N/A (Bypassed)</x:v>
      </x:c>
      <x:c r="J261" s="11" t="str">
        <x:v>N/A (Bypassed)</x:v>
      </x:c>
      <x:c r="K261" s="11" t="str">
        <x:v>N/A</x:v>
      </x:c>
      <x:c r="L261" s="11" t="n">
        <x:v>10.2546</x:v>
      </x:c>
      <x:c r="M261" s="11" t="n">
        <x:v>2.6235</x:v>
      </x:c>
      <x:c r="N261" s="1" t="str">
        <x:v>6898be28591c4e1abe73f83f56b307e4</x:v>
      </x:c>
      <x:c r="O261" s="1" t="str">
        <x:v>Admin Office - 1</x:v>
      </x:c>
      <x:c r="P261" s="1" t="n">
        <x:v>2</x:v>
      </x:c>
      <x:c r="Q261" s="1" t="str">
        <x:v>fast_mode_logs</x:v>
      </x:c>
      <x:c r="R261" s="1" t="n">
        <x:v>7</x:v>
      </x:c>
      <x:c r="S261" s="1" t="str">
        <x:v>Reset exit</x:v>
      </x:c>
      <x:c r="T261" s="1"/>
      <x:c r="U261" s="5" t="str"/>
      <x:c r="V261" s="1" t="n">
        <x:v>0</x:v>
      </x:c>
      <x:c r="W261" s="1" t="n">
        <x:v>0</x:v>
      </x:c>
      <x:c r="X261" s="1" t="str">
        <x:v>Not applicable</x:v>
      </x:c>
      <x:c r="Y261" s="1" t="n">
        <x:f>IF(V261=1,IF(E261="GRANTED",IF(X261="GRANTED",1,0),IF(X261="DENIED",1,0)),0)</x:f>
        <x:v>0</x:v>
      </x:c>
    </x:row>
    <x:row r="262" ht="23" customHeight="1">
      <x:c r="A262" s="9" t="n">
        <x:v>46247.44224297453</x:v>
      </x:c>
      <x:c r="B262" s="1" t="str">
        <x:v>Roberto Ramos</x:v>
      </x:c>
      <x:c r="C262" s="1" t="str">
        <x:v>Exit</x:v>
      </x:c>
      <x:c r="D262" s="1" t="str">
        <x:v>Fast</x:v>
      </x:c>
      <x:c r="E262" s="1" t="str">
        <x:v>GRANTED</x:v>
      </x:c>
      <x:c r="F262" s="11" t="n">
        <x:v>9.6397</x:v>
      </x:c>
      <x:c r="G262" s="11" t="str">
        <x:v>N/A (Bypassed)</x:v>
      </x:c>
      <x:c r="H262" s="11" t="str">
        <x:v>N/A (Bypassed)</x:v>
      </x:c>
      <x:c r="I262" s="11" t="str">
        <x:v>N/A (Bypassed)</x:v>
      </x:c>
      <x:c r="J262" s="11" t="str">
        <x:v>N/A (Bypassed)</x:v>
      </x:c>
      <x:c r="K262" s="11" t="str">
        <x:v>N/A</x:v>
      </x:c>
      <x:c r="L262" s="11" t="n">
        <x:v>9.6397</x:v>
      </x:c>
      <x:c r="M262" s="11" t="n">
        <x:v>2.5364</x:v>
      </x:c>
      <x:c r="N262" s="1" t="str">
        <x:v>6898be28591c4e1abe73f83f56b307e4</x:v>
      </x:c>
      <x:c r="O262" s="1" t="str">
        <x:v>Admin Office - 1</x:v>
      </x:c>
      <x:c r="P262" s="1" t="n">
        <x:v>2</x:v>
      </x:c>
      <x:c r="Q262" s="1" t="str">
        <x:v>fast_mode_logs</x:v>
      </x:c>
      <x:c r="R262" s="1" t="n">
        <x:v>8</x:v>
      </x:c>
      <x:c r="S262" s="1" t="str">
        <x:v>Reset exit</x:v>
      </x:c>
      <x:c r="T262" s="1"/>
      <x:c r="U262" s="5" t="str"/>
      <x:c r="V262" s="1" t="n">
        <x:v>0</x:v>
      </x:c>
      <x:c r="W262" s="1" t="n">
        <x:v>0</x:v>
      </x:c>
      <x:c r="X262" s="1" t="str">
        <x:v>Not applicable</x:v>
      </x:c>
      <x:c r="Y262" s="1" t="n">
        <x:f>IF(V262=1,IF(E262="GRANTED",IF(X262="GRANTED",1,0),IF(X262="DENIED",1,0)),0)</x:f>
        <x:v>0</x:v>
      </x:c>
    </x:row>
    <x:row r="263" ht="23" customHeight="1">
      <x:c r="A263" s="9" t="n">
        <x:v>46247.44221821759</x:v>
      </x:c>
      <x:c r="B263" s="1" t="str">
        <x:v>Angelito Fernandez</x:v>
      </x:c>
      <x:c r="C263" s="1" t="str">
        <x:v>Exit</x:v>
      </x:c>
      <x:c r="D263" s="1" t="str">
        <x:v>Fast</x:v>
      </x:c>
      <x:c r="E263" s="1" t="str">
        <x:v>GRANTED</x:v>
      </x:c>
      <x:c r="F263" s="11" t="n">
        <x:v>11.1057</x:v>
      </x:c>
      <x:c r="G263" s="11" t="str">
        <x:v>N/A (Bypassed)</x:v>
      </x:c>
      <x:c r="H263" s="11" t="str">
        <x:v>N/A (Bypassed)</x:v>
      </x:c>
      <x:c r="I263" s="11" t="str">
        <x:v>N/A (Bypassed)</x:v>
      </x:c>
      <x:c r="J263" s="11" t="str">
        <x:v>N/A (Bypassed)</x:v>
      </x:c>
      <x:c r="K263" s="11" t="str">
        <x:v>N/A</x:v>
      </x:c>
      <x:c r="L263" s="11" t="n">
        <x:v>11.1057</x:v>
      </x:c>
      <x:c r="M263" s="11" t="n">
        <x:v>2.6113</x:v>
      </x:c>
      <x:c r="N263" s="1" t="str">
        <x:v>6898be28591c4e1abe73f83f56b307e4</x:v>
      </x:c>
      <x:c r="O263" s="1" t="str">
        <x:v>Admin Office - 1</x:v>
      </x:c>
      <x:c r="P263" s="1" t="n">
        <x:v>2</x:v>
      </x:c>
      <x:c r="Q263" s="1" t="str">
        <x:v>fast_mode_logs</x:v>
      </x:c>
      <x:c r="R263" s="1" t="n">
        <x:v>9</x:v>
      </x:c>
      <x:c r="S263" s="1" t="str">
        <x:v>Reset exit</x:v>
      </x:c>
      <x:c r="T263" s="1"/>
      <x:c r="U263" s="5" t="str"/>
      <x:c r="V263" s="1" t="n">
        <x:v>0</x:v>
      </x:c>
      <x:c r="W263" s="1" t="n">
        <x:v>0</x:v>
      </x:c>
      <x:c r="X263" s="1" t="str">
        <x:v>Not applicable</x:v>
      </x:c>
      <x:c r="Y263" s="1" t="n">
        <x:f>IF(V263=1,IF(E263="GRANTED",IF(X263="GRANTED",1,0),IF(X263="DENIED",1,0)),0)</x:f>
        <x:v>0</x:v>
      </x:c>
    </x:row>
    <x:row r="264" ht="23" customHeight="1">
      <x:c r="A264" s="9" t="n">
        <x:v>46247.44219297454</x:v>
      </x:c>
      <x:c r="B264" s="1" t="str">
        <x:v>Jose Mari Bautista</x:v>
      </x:c>
      <x:c r="C264" s="1" t="str">
        <x:v>Exit</x:v>
      </x:c>
      <x:c r="D264" s="1" t="str">
        <x:v>Fast</x:v>
      </x:c>
      <x:c r="E264" s="1" t="str">
        <x:v>GRANTED</x:v>
      </x:c>
      <x:c r="F264" s="11" t="n">
        <x:v>12.0889</x:v>
      </x:c>
      <x:c r="G264" s="11" t="str">
        <x:v>N/A (Bypassed)</x:v>
      </x:c>
      <x:c r="H264" s="11" t="str">
        <x:v>N/A (Bypassed)</x:v>
      </x:c>
      <x:c r="I264" s="11" t="str">
        <x:v>N/A (Bypassed)</x:v>
      </x:c>
      <x:c r="J264" s="11" t="str">
        <x:v>N/A (Bypassed)</x:v>
      </x:c>
      <x:c r="K264" s="11" t="str">
        <x:v>N/A</x:v>
      </x:c>
      <x:c r="L264" s="11" t="n">
        <x:v>12.0889</x:v>
      </x:c>
      <x:c r="M264" s="11" t="n">
        <x:v>2.4175</x:v>
      </x:c>
      <x:c r="N264" s="1" t="str">
        <x:v>6898be28591c4e1abe73f83f56b307e4</x:v>
      </x:c>
      <x:c r="O264" s="1" t="str">
        <x:v>Admin Office - 1</x:v>
      </x:c>
      <x:c r="P264" s="1" t="n">
        <x:v>2</x:v>
      </x:c>
      <x:c r="Q264" s="1" t="str">
        <x:v>fast_mode_logs</x:v>
      </x:c>
      <x:c r="R264" s="1" t="n">
        <x:v>10</x:v>
      </x:c>
      <x:c r="S264" s="1" t="str">
        <x:v>Reset exit</x:v>
      </x:c>
      <x:c r="T264" s="1"/>
      <x:c r="U264" s="5" t="str"/>
      <x:c r="V264" s="1" t="n">
        <x:v>0</x:v>
      </x:c>
      <x:c r="W264" s="1" t="n">
        <x:v>0</x:v>
      </x:c>
      <x:c r="X264" s="1" t="str">
        <x:v>Not applicable</x:v>
      </x:c>
      <x:c r="Y264" s="1" t="n">
        <x:f>IF(V264=1,IF(E264="GRANTED",IF(X264="GRANTED",1,0),IF(X264="DENIED",1,0)),0)</x:f>
        <x:v>0</x:v>
      </x:c>
    </x:row>
    <x:row r="265" ht="23" customHeight="1">
      <x:c r="A265" s="9" t="n">
        <x:v>46247.44217277778</x:v>
      </x:c>
      <x:c r="B265" s="1" t="str">
        <x:v>Bayani Dela Rosa</x:v>
      </x:c>
      <x:c r="C265" s="1" t="str">
        <x:v>Exit</x:v>
      </x:c>
      <x:c r="D265" s="1" t="str">
        <x:v>Fast</x:v>
      </x:c>
      <x:c r="E265" s="1" t="str">
        <x:v>GRANTED</x:v>
      </x:c>
      <x:c r="F265" s="11" t="n">
        <x:v>9.6894</x:v>
      </x:c>
      <x:c r="G265" s="11" t="str">
        <x:v>N/A (Bypassed)</x:v>
      </x:c>
      <x:c r="H265" s="11" t="str">
        <x:v>N/A (Bypassed)</x:v>
      </x:c>
      <x:c r="I265" s="11" t="str">
        <x:v>N/A (Bypassed)</x:v>
      </x:c>
      <x:c r="J265" s="11" t="str">
        <x:v>N/A (Bypassed)</x:v>
      </x:c>
      <x:c r="K265" s="11" t="str">
        <x:v>N/A</x:v>
      </x:c>
      <x:c r="L265" s="11" t="n">
        <x:v>9.6894</x:v>
      </x:c>
      <x:c r="M265" s="11" t="n">
        <x:v>0.6493</x:v>
      </x:c>
      <x:c r="N265" s="1" t="str">
        <x:v>6898be28591c4e1abe73f83f56b307e4</x:v>
      </x:c>
      <x:c r="O265" s="1" t="str">
        <x:v>Admin Office - 1</x:v>
      </x:c>
      <x:c r="P265" s="1" t="n">
        <x:v>2</x:v>
      </x:c>
      <x:c r="Q265" s="1" t="str">
        <x:v>fast_mode_logs</x:v>
      </x:c>
      <x:c r="R265" s="1" t="n">
        <x:v>11</x:v>
      </x:c>
      <x:c r="S265" s="1" t="str">
        <x:v>Reset exit</x:v>
      </x:c>
      <x:c r="T265" s="1"/>
      <x:c r="U265" s="5" t="str"/>
      <x:c r="V265" s="1" t="n">
        <x:v>0</x:v>
      </x:c>
      <x:c r="W265" s="1" t="n">
        <x:v>0</x:v>
      </x:c>
      <x:c r="X265" s="1" t="str">
        <x:v>Not applicable</x:v>
      </x:c>
      <x:c r="Y265" s="1" t="n">
        <x:f>IF(V265=1,IF(E265="GRANTED",IF(X265="GRANTED",1,0),IF(X265="DENIED",1,0)),0)</x:f>
        <x:v>0</x:v>
      </x:c>
    </x:row>
    <x:row r="266" ht="23" customHeight="1">
      <x:c r="A266" s="9" t="n">
        <x:v>46247.442032754625</x:v>
      </x:c>
      <x:c r="B266" s="1" t="str">
        <x:v>Bayani Dela Rosa</x:v>
      </x:c>
      <x:c r="C266" s="1" t="str">
        <x:v>Entry</x:v>
      </x:c>
      <x:c r="D266" s="1" t="str">
        <x:v>Fast</x:v>
      </x:c>
      <x:c r="E266" s="1" t="str">
        <x:v>GRANTED</x:v>
      </x:c>
      <x:c r="F266" s="11" t="n">
        <x:v>12.0638</x:v>
      </x:c>
      <x:c r="G266" s="11" t="str">
        <x:v>N/A (Bypassed)</x:v>
      </x:c>
      <x:c r="H266" s="11" t="str">
        <x:v>N/A (Bypassed)</x:v>
      </x:c>
      <x:c r="I266" s="11" t="str">
        <x:v>N/A (Bypassed)</x:v>
      </x:c>
      <x:c r="J266" s="11" t="str">
        <x:v>N/A (Bypassed)</x:v>
      </x:c>
      <x:c r="K266" s="11" t="str">
        <x:v>N/A</x:v>
      </x:c>
      <x:c r="L266" s="11" t="n">
        <x:v>12.0638</x:v>
      </x:c>
      <x:c r="M266" s="11" t="n">
        <x:v>2.8201</x:v>
      </x:c>
      <x:c r="N266" s="1" t="str">
        <x:v>6898be28591c4e1abe73f83f56b307e4</x:v>
      </x:c>
      <x:c r="O266" s="1" t="str">
        <x:v>Admin Office - 1</x:v>
      </x:c>
      <x:c r="P266" s="1" t="n">
        <x:v>2</x:v>
      </x:c>
      <x:c r="Q266" s="1" t="str">
        <x:v>fast_mode_logs</x:v>
      </x:c>
      <x:c r="R266" s="1" t="n">
        <x:v>12</x:v>
      </x:c>
      <x:c r="S266" s="1" t="str">
        <x:v>Successful entry</x:v>
      </x:c>
      <x:c r="T266" s="1" t="n">
        <x:v>2</x:v>
      </x:c>
      <x:c r="U266" s="5" t="str"/>
      <x:c r="V266" s="1" t="n">
        <x:v>1</x:v>
      </x:c>
      <x:c r="W266" s="1" t="n">
        <x:v>0</x:v>
      </x:c>
      <x:c r="X266" s="1" t="str">
        <x:v>GRANTED</x:v>
      </x:c>
      <x:c r="Y266" s="1" t="n">
        <x:f>IF(V266=1,IF(E266="GRANTED",IF(X266="GRANTED",1,0),IF(X266="DENIED",1,0)),0)</x:f>
        <x:v>1</x:v>
      </x:c>
    </x:row>
    <x:row r="267" ht="23" customHeight="1">
      <x:c r="A267" s="9" t="n">
        <x:v>46247.442009907405</x:v>
      </x:c>
      <x:c r="B267" s="1" t="str">
        <x:v>Jose Mari Bautista</x:v>
      </x:c>
      <x:c r="C267" s="1" t="str">
        <x:v>Entry</x:v>
      </x:c>
      <x:c r="D267" s="1" t="str">
        <x:v>Fast</x:v>
      </x:c>
      <x:c r="E267" s="1" t="str">
        <x:v>GRANTED</x:v>
      </x:c>
      <x:c r="F267" s="11" t="n">
        <x:v>11.5052</x:v>
      </x:c>
      <x:c r="G267" s="11" t="str">
        <x:v>N/A (Bypassed)</x:v>
      </x:c>
      <x:c r="H267" s="11" t="str">
        <x:v>N/A (Bypassed)</x:v>
      </x:c>
      <x:c r="I267" s="11" t="str">
        <x:v>N/A (Bypassed)</x:v>
      </x:c>
      <x:c r="J267" s="11" t="str">
        <x:v>N/A (Bypassed)</x:v>
      </x:c>
      <x:c r="K267" s="11" t="str">
        <x:v>N/A</x:v>
      </x:c>
      <x:c r="L267" s="11" t="n">
        <x:v>11.5052</x:v>
      </x:c>
      <x:c r="M267" s="11" t="n">
        <x:v>2.8627</x:v>
      </x:c>
      <x:c r="N267" s="1" t="str">
        <x:v>6898be28591c4e1abe73f83f56b307e4</x:v>
      </x:c>
      <x:c r="O267" s="1" t="str">
        <x:v>Admin Office - 1</x:v>
      </x:c>
      <x:c r="P267" s="1" t="n">
        <x:v>2</x:v>
      </x:c>
      <x:c r="Q267" s="1" t="str">
        <x:v>fast_mode_logs</x:v>
      </x:c>
      <x:c r="R267" s="1" t="n">
        <x:v>13</x:v>
      </x:c>
      <x:c r="S267" s="1" t="str">
        <x:v>Successful entry</x:v>
      </x:c>
      <x:c r="T267" s="1" t="n">
        <x:v>2</x:v>
      </x:c>
      <x:c r="U267" s="5" t="str"/>
      <x:c r="V267" s="1" t="n">
        <x:v>1</x:v>
      </x:c>
      <x:c r="W267" s="1" t="n">
        <x:v>0</x:v>
      </x:c>
      <x:c r="X267" s="1" t="str">
        <x:v>GRANTED</x:v>
      </x:c>
      <x:c r="Y267" s="1" t="n">
        <x:f>IF(V267=1,IF(E267="GRANTED",IF(X267="GRANTED",1,0),IF(X267="DENIED",1,0)),0)</x:f>
        <x:v>1</x:v>
      </x:c>
    </x:row>
    <x:row r="268" ht="23" customHeight="1">
      <x:c r="A268" s="9" t="n">
        <x:v>46247.44198822917</x:v>
      </x:c>
      <x:c r="B268" s="1" t="str">
        <x:v>Angelito Fernandez</x:v>
      </x:c>
      <x:c r="C268" s="1" t="str">
        <x:v>Entry</x:v>
      </x:c>
      <x:c r="D268" s="1" t="str">
        <x:v>Fast</x:v>
      </x:c>
      <x:c r="E268" s="1" t="str">
        <x:v>GRANTED</x:v>
      </x:c>
      <x:c r="F268" s="11" t="n">
        <x:v>10.2955</x:v>
      </x:c>
      <x:c r="G268" s="11" t="str">
        <x:v>N/A (Bypassed)</x:v>
      </x:c>
      <x:c r="H268" s="11" t="str">
        <x:v>N/A (Bypassed)</x:v>
      </x:c>
      <x:c r="I268" s="11" t="str">
        <x:v>N/A (Bypassed)</x:v>
      </x:c>
      <x:c r="J268" s="11" t="str">
        <x:v>N/A (Bypassed)</x:v>
      </x:c>
      <x:c r="K268" s="11" t="str">
        <x:v>N/A</x:v>
      </x:c>
      <x:c r="L268" s="11" t="n">
        <x:v>10.2955</x:v>
      </x:c>
      <x:c r="M268" s="11" t="n">
        <x:v>2.6847</x:v>
      </x:c>
      <x:c r="N268" s="1" t="str">
        <x:v>6898be28591c4e1abe73f83f56b307e4</x:v>
      </x:c>
      <x:c r="O268" s="1" t="str">
        <x:v>Admin Office - 1</x:v>
      </x:c>
      <x:c r="P268" s="1" t="n">
        <x:v>2</x:v>
      </x:c>
      <x:c r="Q268" s="1" t="str">
        <x:v>fast_mode_logs</x:v>
      </x:c>
      <x:c r="R268" s="1" t="n">
        <x:v>14</x:v>
      </x:c>
      <x:c r="S268" s="1" t="str">
        <x:v>Successful entry</x:v>
      </x:c>
      <x:c r="T268" s="1" t="n">
        <x:v>2</x:v>
      </x:c>
      <x:c r="U268" s="5" t="str"/>
      <x:c r="V268" s="1" t="n">
        <x:v>1</x:v>
      </x:c>
      <x:c r="W268" s="1" t="n">
        <x:v>0</x:v>
      </x:c>
      <x:c r="X268" s="1" t="str">
        <x:v>GRANTED</x:v>
      </x:c>
      <x:c r="Y268" s="1" t="n">
        <x:f>IF(V268=1,IF(E268="GRANTED",IF(X268="GRANTED",1,0),IF(X268="DENIED",1,0)),0)</x:f>
        <x:v>1</x:v>
      </x:c>
    </x:row>
    <x:row r="269" ht="23" customHeight="1">
      <x:c r="A269" s="9" t="n">
        <x:v>46247.44195689815</x:v>
      </x:c>
      <x:c r="B269" s="1" t="str">
        <x:v>Roberto Ramos</x:v>
      </x:c>
      <x:c r="C269" s="1" t="str">
        <x:v>Entry</x:v>
      </x:c>
      <x:c r="D269" s="1" t="str">
        <x:v>Fast</x:v>
      </x:c>
      <x:c r="E269" s="1" t="str">
        <x:v>GRANTED</x:v>
      </x:c>
      <x:c r="F269" s="11" t="n">
        <x:v>10.2506</x:v>
      </x:c>
      <x:c r="G269" s="11" t="str">
        <x:v>N/A (Bypassed)</x:v>
      </x:c>
      <x:c r="H269" s="11" t="str">
        <x:v>N/A (Bypassed)</x:v>
      </x:c>
      <x:c r="I269" s="11" t="str">
        <x:v>N/A (Bypassed)</x:v>
      </x:c>
      <x:c r="J269" s="11" t="str">
        <x:v>N/A (Bypassed)</x:v>
      </x:c>
      <x:c r="K269" s="11" t="str">
        <x:v>N/A</x:v>
      </x:c>
      <x:c r="L269" s="11" t="n">
        <x:v>10.2506</x:v>
      </x:c>
      <x:c r="M269" s="11" t="n">
        <x:v>2.5594</x:v>
      </x:c>
      <x:c r="N269" s="1" t="str">
        <x:v>6898be28591c4e1abe73f83f56b307e4</x:v>
      </x:c>
      <x:c r="O269" s="1" t="str">
        <x:v>Admin Office - 1</x:v>
      </x:c>
      <x:c r="P269" s="1" t="n">
        <x:v>2</x:v>
      </x:c>
      <x:c r="Q269" s="1" t="str">
        <x:v>fast_mode_logs</x:v>
      </x:c>
      <x:c r="R269" s="1" t="n">
        <x:v>15</x:v>
      </x:c>
      <x:c r="S269" s="1" t="str">
        <x:v>Successful entry</x:v>
      </x:c>
      <x:c r="T269" s="1" t="n">
        <x:v>2</x:v>
      </x:c>
      <x:c r="U269" s="5" t="str"/>
      <x:c r="V269" s="1" t="n">
        <x:v>1</x:v>
      </x:c>
      <x:c r="W269" s="1" t="n">
        <x:v>0</x:v>
      </x:c>
      <x:c r="X269" s="1" t="str">
        <x:v>GRANTED</x:v>
      </x:c>
      <x:c r="Y269" s="1" t="n">
        <x:f>IF(V269=1,IF(E269="GRANTED",IF(X269="GRANTED",1,0),IF(X269="DENIED",1,0)),0)</x:f>
        <x:v>1</x:v>
      </x:c>
    </x:row>
    <x:row r="270" ht="23" customHeight="1">
      <x:c r="A270" s="9" t="n">
        <x:v>46247.44193576388</x:v>
      </x:c>
      <x:c r="B270" s="1" t="str">
        <x:v>Juanito Delos Santos</x:v>
      </x:c>
      <x:c r="C270" s="1" t="str">
        <x:v>Entry</x:v>
      </x:c>
      <x:c r="D270" s="1" t="str">
        <x:v>Fast</x:v>
      </x:c>
      <x:c r="E270" s="1" t="str">
        <x:v>GRANTED</x:v>
      </x:c>
      <x:c r="F270" s="11" t="n">
        <x:v>11.6352</x:v>
      </x:c>
      <x:c r="G270" s="11" t="str">
        <x:v>N/A (Bypassed)</x:v>
      </x:c>
      <x:c r="H270" s="11" t="str">
        <x:v>N/A (Bypassed)</x:v>
      </x:c>
      <x:c r="I270" s="11" t="str">
        <x:v>N/A (Bypassed)</x:v>
      </x:c>
      <x:c r="J270" s="11" t="str">
        <x:v>N/A (Bypassed)</x:v>
      </x:c>
      <x:c r="K270" s="11" t="str">
        <x:v>N/A</x:v>
      </x:c>
      <x:c r="L270" s="11" t="n">
        <x:v>11.6352</x:v>
      </x:c>
      <x:c r="M270" s="11" t="n">
        <x:v>4.8024</x:v>
      </x:c>
      <x:c r="N270" s="1" t="str">
        <x:v>6898be28591c4e1abe73f83f56b307e4</x:v>
      </x:c>
      <x:c r="O270" s="1" t="str">
        <x:v>Admin Office - 1</x:v>
      </x:c>
      <x:c r="P270" s="1" t="n">
        <x:v>2</x:v>
      </x:c>
      <x:c r="Q270" s="1" t="str">
        <x:v>fast_mode_logs</x:v>
      </x:c>
      <x:c r="R270" s="1" t="n">
        <x:v>16</x:v>
      </x:c>
      <x:c r="S270" s="1" t="str">
        <x:v>Successful entry</x:v>
      </x:c>
      <x:c r="T270" s="1" t="n">
        <x:v>2</x:v>
      </x:c>
      <x:c r="U270" s="5" t="str"/>
      <x:c r="V270" s="1" t="n">
        <x:v>1</x:v>
      </x:c>
      <x:c r="W270" s="1" t="n">
        <x:v>0</x:v>
      </x:c>
      <x:c r="X270" s="1" t="str">
        <x:v>GRANTED</x:v>
      </x:c>
      <x:c r="Y270" s="1" t="n">
        <x:f>IF(V270=1,IF(E270="GRANTED",IF(X270="GRANTED",1,0),IF(X270="DENIED",1,0)),0)</x:f>
        <x:v>1</x:v>
      </x:c>
    </x:row>
    <x:row r="271" ht="23" customHeight="1">
      <x:c r="A271" s="9" t="n">
        <x:v>46247.44191496528</x:v>
      </x:c>
      <x:c r="B271" s="1" t="str">
        <x:v>[TEMP] Manuel Mendoza</x:v>
      </x:c>
      <x:c r="C271" s="1" t="str">
        <x:v>Entry</x:v>
      </x:c>
      <x:c r="D271" s="1" t="str">
        <x:v>Fast</x:v>
      </x:c>
      <x:c r="E271" s="1" t="str">
        <x:v>GRANTED</x:v>
      </x:c>
      <x:c r="F271" s="11" t="n">
        <x:v>11.5315</x:v>
      </x:c>
      <x:c r="G271" s="11" t="str">
        <x:v>N/A (Bypassed)</x:v>
      </x:c>
      <x:c r="H271" s="11" t="str">
        <x:v>N/A (Bypassed)</x:v>
      </x:c>
      <x:c r="I271" s="11" t="str">
        <x:v>N/A (Bypassed)</x:v>
      </x:c>
      <x:c r="J271" s="11" t="str">
        <x:v>N/A (Bypassed)</x:v>
      </x:c>
      <x:c r="K271" s="11" t="str">
        <x:v>N/A</x:v>
      </x:c>
      <x:c r="L271" s="11" t="n">
        <x:v>11.5315</x:v>
      </x:c>
      <x:c r="M271" s="11" t="n">
        <x:v>2.6306</x:v>
      </x:c>
      <x:c r="N271" s="1" t="str">
        <x:v>6898be28591c4e1abe73f83f56b307e4</x:v>
      </x:c>
      <x:c r="O271" s="1" t="str">
        <x:v>Admin Office - 1</x:v>
      </x:c>
      <x:c r="P271" s="1" t="n">
        <x:v>2</x:v>
      </x:c>
      <x:c r="Q271" s="1" t="str">
        <x:v>fast_mode_logs</x:v>
      </x:c>
      <x:c r="R271" s="1" t="n">
        <x:v>17</x:v>
      </x:c>
      <x:c r="S271" s="1" t="str">
        <x:v>Successful entry</x:v>
      </x:c>
      <x:c r="T271" s="1" t="n">
        <x:v>2</x:v>
      </x:c>
      <x:c r="U271" s="5" t="str"/>
      <x:c r="V271" s="1" t="n">
        <x:v>1</x:v>
      </x:c>
      <x:c r="W271" s="1" t="n">
        <x:v>0</x:v>
      </x:c>
      <x:c r="X271" s="1" t="str">
        <x:v>GRANTED</x:v>
      </x:c>
      <x:c r="Y271" s="1" t="n">
        <x:f>IF(V271=1,IF(E271="GRANTED",IF(X271="GRANTED",1,0),IF(X271="DENIED",1,0)),0)</x:f>
        <x:v>1</x:v>
      </x:c>
    </x:row>
    <x:row r="272" ht="23" customHeight="1">
      <x:c r="A272" s="9" t="n">
        <x:v>46247.44189255787</x:v>
      </x:c>
      <x:c r="B272" s="1" t="str">
        <x:v>Francisco Garcia</x:v>
      </x:c>
      <x:c r="C272" s="1" t="str">
        <x:v>Entry</x:v>
      </x:c>
      <x:c r="D272" s="1" t="str">
        <x:v>Fast</x:v>
      </x:c>
      <x:c r="E272" s="1" t="str">
        <x:v>GRANTED</x:v>
      </x:c>
      <x:c r="F272" s="11" t="n">
        <x:v>11.8961</x:v>
      </x:c>
      <x:c r="G272" s="11" t="str">
        <x:v>N/A (Bypassed)</x:v>
      </x:c>
      <x:c r="H272" s="11" t="str">
        <x:v>N/A (Bypassed)</x:v>
      </x:c>
      <x:c r="I272" s="11" t="str">
        <x:v>N/A (Bypassed)</x:v>
      </x:c>
      <x:c r="J272" s="11" t="str">
        <x:v>N/A (Bypassed)</x:v>
      </x:c>
      <x:c r="K272" s="11" t="str">
        <x:v>N/A</x:v>
      </x:c>
      <x:c r="L272" s="11" t="n">
        <x:v>11.8961</x:v>
      </x:c>
      <x:c r="M272" s="11" t="n">
        <x:v>2.9641</x:v>
      </x:c>
      <x:c r="N272" s="1" t="str">
        <x:v>6898be28591c4e1abe73f83f56b307e4</x:v>
      </x:c>
      <x:c r="O272" s="1" t="str">
        <x:v>Admin Office - 1</x:v>
      </x:c>
      <x:c r="P272" s="1" t="n">
        <x:v>2</x:v>
      </x:c>
      <x:c r="Q272" s="1" t="str">
        <x:v>fast_mode_logs</x:v>
      </x:c>
      <x:c r="R272" s="1" t="n">
        <x:v>18</x:v>
      </x:c>
      <x:c r="S272" s="1" t="str">
        <x:v>Successful entry</x:v>
      </x:c>
      <x:c r="T272" s="1" t="n">
        <x:v>2</x:v>
      </x:c>
      <x:c r="U272" s="5" t="str"/>
      <x:c r="V272" s="1" t="n">
        <x:v>1</x:v>
      </x:c>
      <x:c r="W272" s="1" t="n">
        <x:v>0</x:v>
      </x:c>
      <x:c r="X272" s="1" t="str">
        <x:v>GRANTED</x:v>
      </x:c>
      <x:c r="Y272" s="1" t="n">
        <x:f>IF(V272=1,IF(E272="GRANTED",IF(X272="GRANTED",1,0),IF(X272="DENIED",1,0)),0)</x:f>
        <x:v>1</x:v>
      </x:c>
    </x:row>
    <x:row r="273" ht="23" customHeight="1">
      <x:c r="A273" s="9" t="n">
        <x:v>46247.441870462964</x:v>
      </x:c>
      <x:c r="B273" s="1" t="str">
        <x:v>[TEMP] Pedro Reyes</x:v>
      </x:c>
      <x:c r="C273" s="1" t="str">
        <x:v>Entry</x:v>
      </x:c>
      <x:c r="D273" s="1" t="str">
        <x:v>Fast</x:v>
      </x:c>
      <x:c r="E273" s="1" t="str">
        <x:v>GRANTED</x:v>
      </x:c>
      <x:c r="F273" s="11" t="n">
        <x:v>11.6101</x:v>
      </x:c>
      <x:c r="G273" s="11" t="str">
        <x:v>N/A (Bypassed)</x:v>
      </x:c>
      <x:c r="H273" s="11" t="str">
        <x:v>N/A (Bypassed)</x:v>
      </x:c>
      <x:c r="I273" s="11" t="str">
        <x:v>N/A (Bypassed)</x:v>
      </x:c>
      <x:c r="J273" s="11" t="str">
        <x:v>N/A (Bypassed)</x:v>
      </x:c>
      <x:c r="K273" s="11" t="str">
        <x:v>N/A</x:v>
      </x:c>
      <x:c r="L273" s="11" t="n">
        <x:v>11.6101</x:v>
      </x:c>
      <x:c r="M273" s="11" t="n">
        <x:v>4.1975</x:v>
      </x:c>
      <x:c r="N273" s="1" t="str">
        <x:v>6898be28591c4e1abe73f83f56b307e4</x:v>
      </x:c>
      <x:c r="O273" s="1" t="str">
        <x:v>Admin Office - 1</x:v>
      </x:c>
      <x:c r="P273" s="1" t="n">
        <x:v>2</x:v>
      </x:c>
      <x:c r="Q273" s="1" t="str">
        <x:v>fast_mode_logs</x:v>
      </x:c>
      <x:c r="R273" s="1" t="n">
        <x:v>19</x:v>
      </x:c>
      <x:c r="S273" s="1" t="str">
        <x:v>Successful entry</x:v>
      </x:c>
      <x:c r="T273" s="1" t="n">
        <x:v>2</x:v>
      </x:c>
      <x:c r="U273" s="5" t="str"/>
      <x:c r="V273" s="1" t="n">
        <x:v>1</x:v>
      </x:c>
      <x:c r="W273" s="1" t="n">
        <x:v>0</x:v>
      </x:c>
      <x:c r="X273" s="1" t="str">
        <x:v>GRANTED</x:v>
      </x:c>
      <x:c r="Y273" s="1" t="n">
        <x:f>IF(V273=1,IF(E273="GRANTED",IF(X273="GRANTED",1,0),IF(X273="DENIED",1,0)),0)</x:f>
        <x:v>1</x:v>
      </x:c>
    </x:row>
    <x:row r="274" ht="23" customHeight="1">
      <x:c r="A274" s="9" t="n">
        <x:v>46247.44184833333</x:v>
      </x:c>
      <x:c r="B274" s="1" t="str">
        <x:v>[TEMP] Jose Santos</x:v>
      </x:c>
      <x:c r="C274" s="1" t="str">
        <x:v>Entry</x:v>
      </x:c>
      <x:c r="D274" s="1" t="str">
        <x:v>Fast</x:v>
      </x:c>
      <x:c r="E274" s="1" t="str">
        <x:v>GRANTED</x:v>
      </x:c>
      <x:c r="F274" s="11" t="n">
        <x:v>15.0453</x:v>
      </x:c>
      <x:c r="G274" s="11" t="str">
        <x:v>N/A (Bypassed)</x:v>
      </x:c>
      <x:c r="H274" s="11" t="str">
        <x:v>N/A (Bypassed)</x:v>
      </x:c>
      <x:c r="I274" s="11" t="str">
        <x:v>N/A (Bypassed)</x:v>
      </x:c>
      <x:c r="J274" s="11" t="str">
        <x:v>N/A (Bypassed)</x:v>
      </x:c>
      <x:c r="K274" s="11" t="str">
        <x:v>N/A</x:v>
      </x:c>
      <x:c r="L274" s="11" t="n">
        <x:v>15.0453</x:v>
      </x:c>
      <x:c r="M274" s="11" t="n">
        <x:v>4.1816</x:v>
      </x:c>
      <x:c r="N274" s="1" t="str">
        <x:v>6898be28591c4e1abe73f83f56b307e4</x:v>
      </x:c>
      <x:c r="O274" s="1" t="str">
        <x:v>Admin Office - 1</x:v>
      </x:c>
      <x:c r="P274" s="1" t="n">
        <x:v>2</x:v>
      </x:c>
      <x:c r="Q274" s="1" t="str">
        <x:v>fast_mode_logs</x:v>
      </x:c>
      <x:c r="R274" s="1" t="n">
        <x:v>20</x:v>
      </x:c>
      <x:c r="S274" s="1" t="str">
        <x:v>Successful entry</x:v>
      </x:c>
      <x:c r="T274" s="1" t="n">
        <x:v>2</x:v>
      </x:c>
      <x:c r="U274" s="5" t="str"/>
      <x:c r="V274" s="1" t="n">
        <x:v>1</x:v>
      </x:c>
      <x:c r="W274" s="1" t="n">
        <x:v>0</x:v>
      </x:c>
      <x:c r="X274" s="1" t="str">
        <x:v>GRANTED</x:v>
      </x:c>
      <x:c r="Y274" s="1" t="n">
        <x:f>IF(V274=1,IF(E274="GRANTED",IF(X274="GRANTED",1,0),IF(X274="DENIED",1,0)),0)</x:f>
        <x:v>1</x:v>
      </x:c>
    </x:row>
    <x:row r="275" ht="23" customHeight="1">
      <x:c r="A275" s="9" t="n">
        <x:v>46247.44182554398</x:v>
      </x:c>
      <x:c r="B275" s="1" t="str">
        <x:v>[TEMP] Juan Dela Cruz</x:v>
      </x:c>
      <x:c r="C275" s="1" t="str">
        <x:v>Entry</x:v>
      </x:c>
      <x:c r="D275" s="1" t="str">
        <x:v>Fast</x:v>
      </x:c>
      <x:c r="E275" s="1" t="str">
        <x:v>GRANTED</x:v>
      </x:c>
      <x:c r="F275" s="11" t="n">
        <x:v>9.1748</x:v>
      </x:c>
      <x:c r="G275" s="11" t="str">
        <x:v>N/A (Bypassed)</x:v>
      </x:c>
      <x:c r="H275" s="11" t="str">
        <x:v>N/A (Bypassed)</x:v>
      </x:c>
      <x:c r="I275" s="11" t="str">
        <x:v>N/A (Bypassed)</x:v>
      </x:c>
      <x:c r="J275" s="11" t="str">
        <x:v>N/A (Bypassed)</x:v>
      </x:c>
      <x:c r="K275" s="11" t="str">
        <x:v>N/A</x:v>
      </x:c>
      <x:c r="L275" s="11" t="n">
        <x:v>9.1748</x:v>
      </x:c>
      <x:c r="M275" s="11" t="n">
        <x:v>0.6404</x:v>
      </x:c>
      <x:c r="N275" s="1" t="str">
        <x:v>6898be28591c4e1abe73f83f56b307e4</x:v>
      </x:c>
      <x:c r="O275" s="1" t="str">
        <x:v>Admin Office - 1</x:v>
      </x:c>
      <x:c r="P275" s="1" t="n">
        <x:v>2</x:v>
      </x:c>
      <x:c r="Q275" s="1" t="str">
        <x:v>fast_mode_logs</x:v>
      </x:c>
      <x:c r="R275" s="1" t="n">
        <x:v>21</x:v>
      </x:c>
      <x:c r="S275" s="1" t="str">
        <x:v>Successful entry</x:v>
      </x:c>
      <x:c r="T275" s="1" t="n">
        <x:v>2</x:v>
      </x:c>
      <x:c r="U275" s="5" t="str"/>
      <x:c r="V275" s="1" t="n">
        <x:v>1</x:v>
      </x:c>
      <x:c r="W275" s="1" t="n">
        <x:v>0</x:v>
      </x:c>
      <x:c r="X275" s="1" t="str">
        <x:v>GRANTED</x:v>
      </x:c>
      <x:c r="Y275" s="1" t="n">
        <x:f>IF(V275=1,IF(E275="GRANTED",IF(X275="GRANTED",1,0),IF(X275="DENIED",1,0)),0)</x:f>
        <x:v>1</x:v>
      </x:c>
    </x:row>
    <x:row r="276" ht="23" customHeight="1">
      <x:c r="A276" s="9" t="n">
        <x:v>46247.44166283565</x:v>
      </x:c>
      <x:c r="B276" s="1" t="str">
        <x:v>Pedro Penduko</x:v>
      </x:c>
      <x:c r="C276" s="1" t="str">
        <x:v>Exit</x:v>
      </x:c>
      <x:c r="D276" s="1" t="str">
        <x:v>Fast</x:v>
      </x:c>
      <x:c r="E276" s="1" t="str">
        <x:v>GRANTED</x:v>
      </x:c>
      <x:c r="F276" s="11" t="n">
        <x:v>11.7678</x:v>
      </x:c>
      <x:c r="G276" s="11" t="str">
        <x:v>N/A (Bypassed)</x:v>
      </x:c>
      <x:c r="H276" s="11" t="str">
        <x:v>N/A (Bypassed)</x:v>
      </x:c>
      <x:c r="I276" s="11" t="str">
        <x:v>N/A (Bypassed)</x:v>
      </x:c>
      <x:c r="J276" s="11" t="str">
        <x:v>N/A (Bypassed)</x:v>
      </x:c>
      <x:c r="K276" s="11" t="str">
        <x:v>N/A</x:v>
      </x:c>
      <x:c r="L276" s="11" t="n">
        <x:v>11.7678</x:v>
      </x:c>
      <x:c r="M276" s="11" t="n">
        <x:v>2.9248</x:v>
      </x:c>
      <x:c r="N276" s="1" t="str">
        <x:v>6898be28591c4e1abe73f83f56b307e4</x:v>
      </x:c>
      <x:c r="O276" s="1" t="str">
        <x:v>Admin Office - 1</x:v>
      </x:c>
      <x:c r="P276" s="1" t="n">
        <x:v>2</x:v>
      </x:c>
      <x:c r="Q276" s="1" t="str">
        <x:v>fast_mode_logs</x:v>
      </x:c>
      <x:c r="R276" s="1" t="n">
        <x:v>22</x:v>
      </x:c>
      <x:c r="S276" s="1" t="str">
        <x:v>Reset exit</x:v>
      </x:c>
      <x:c r="T276" s="1"/>
      <x:c r="U276" s="5" t="str"/>
      <x:c r="V276" s="1" t="n">
        <x:v>0</x:v>
      </x:c>
      <x:c r="W276" s="1" t="n">
        <x:v>0</x:v>
      </x:c>
      <x:c r="X276" s="1" t="str">
        <x:v>Not applicable</x:v>
      </x:c>
      <x:c r="Y276" s="1" t="n">
        <x:f>IF(V276=1,IF(E276="GRANTED",IF(X276="GRANTED",1,0),IF(X276="DENIED",1,0)),0)</x:f>
        <x:v>0</x:v>
      </x:c>
    </x:row>
    <x:row r="277" ht="23" customHeight="1">
      <x:c r="A277" s="9" t="n">
        <x:v>46247.44163311343</x:v>
      </x:c>
      <x:c r="B277" s="1" t="str">
        <x:v>Juan Tamad</x:v>
      </x:c>
      <x:c r="C277" s="1" t="str">
        <x:v>Exit</x:v>
      </x:c>
      <x:c r="D277" s="1" t="str">
        <x:v>Fast</x:v>
      </x:c>
      <x:c r="E277" s="1" t="str">
        <x:v>GRANTED</x:v>
      </x:c>
      <x:c r="F277" s="11" t="n">
        <x:v>10.0037</x:v>
      </x:c>
      <x:c r="G277" s="11" t="str">
        <x:v>N/A (Bypassed)</x:v>
      </x:c>
      <x:c r="H277" s="11" t="str">
        <x:v>N/A (Bypassed)</x:v>
      </x:c>
      <x:c r="I277" s="11" t="str">
        <x:v>N/A (Bypassed)</x:v>
      </x:c>
      <x:c r="J277" s="11" t="str">
        <x:v>N/A (Bypassed)</x:v>
      </x:c>
      <x:c r="K277" s="11" t="str">
        <x:v>N/A</x:v>
      </x:c>
      <x:c r="L277" s="11" t="n">
        <x:v>10.0037</x:v>
      </x:c>
      <x:c r="M277" s="11" t="n">
        <x:v>2.8079</x:v>
      </x:c>
      <x:c r="N277" s="1" t="str">
        <x:v>6898be28591c4e1abe73f83f56b307e4</x:v>
      </x:c>
      <x:c r="O277" s="1" t="str">
        <x:v>Admin Office - 1</x:v>
      </x:c>
      <x:c r="P277" s="1" t="n">
        <x:v>2</x:v>
      </x:c>
      <x:c r="Q277" s="1" t="str">
        <x:v>fast_mode_logs</x:v>
      </x:c>
      <x:c r="R277" s="1" t="n">
        <x:v>23</x:v>
      </x:c>
      <x:c r="S277" s="1" t="str">
        <x:v>Reset exit</x:v>
      </x:c>
      <x:c r="T277" s="1"/>
      <x:c r="U277" s="5" t="str"/>
      <x:c r="V277" s="1" t="n">
        <x:v>0</x:v>
      </x:c>
      <x:c r="W277" s="1" t="n">
        <x:v>0</x:v>
      </x:c>
      <x:c r="X277" s="1" t="str">
        <x:v>Not applicable</x:v>
      </x:c>
      <x:c r="Y277" s="1" t="n">
        <x:f>IF(V277=1,IF(E277="GRANTED",IF(X277="GRANTED",1,0),IF(X277="DENIED",1,0)),0)</x:f>
        <x:v>0</x:v>
      </x:c>
    </x:row>
    <x:row r="278" ht="23" customHeight="1">
      <x:c r="A278" s="9" t="n">
        <x:v>46247.44160582176</x:v>
      </x:c>
      <x:c r="B278" s="1" t="str">
        <x:v>Luningning Santos</x:v>
      </x:c>
      <x:c r="C278" s="1" t="str">
        <x:v>Exit</x:v>
      </x:c>
      <x:c r="D278" s="1" t="str">
        <x:v>Fast</x:v>
      </x:c>
      <x:c r="E278" s="1" t="str">
        <x:v>GRANTED</x:v>
      </x:c>
      <x:c r="F278" s="11" t="n">
        <x:v>9.5906</x:v>
      </x:c>
      <x:c r="G278" s="11" t="str">
        <x:v>N/A (Bypassed)</x:v>
      </x:c>
      <x:c r="H278" s="11" t="str">
        <x:v>N/A (Bypassed)</x:v>
      </x:c>
      <x:c r="I278" s="11" t="str">
        <x:v>N/A (Bypassed)</x:v>
      </x:c>
      <x:c r="J278" s="11" t="str">
        <x:v>N/A (Bypassed)</x:v>
      </x:c>
      <x:c r="K278" s="11" t="str">
        <x:v>N/A</x:v>
      </x:c>
      <x:c r="L278" s="11" t="n">
        <x:v>9.5906</x:v>
      </x:c>
      <x:c r="M278" s="11" t="n">
        <x:v>2.7164</x:v>
      </x:c>
      <x:c r="N278" s="1" t="str">
        <x:v>6898be28591c4e1abe73f83f56b307e4</x:v>
      </x:c>
      <x:c r="O278" s="1" t="str">
        <x:v>Admin Office - 1</x:v>
      </x:c>
      <x:c r="P278" s="1" t="n">
        <x:v>2</x:v>
      </x:c>
      <x:c r="Q278" s="1" t="str">
        <x:v>fast_mode_logs</x:v>
      </x:c>
      <x:c r="R278" s="1" t="n">
        <x:v>24</x:v>
      </x:c>
      <x:c r="S278" s="1" t="str">
        <x:v>Reset exit</x:v>
      </x:c>
      <x:c r="T278" s="1"/>
      <x:c r="U278" s="5" t="str"/>
      <x:c r="V278" s="1" t="n">
        <x:v>0</x:v>
      </x:c>
      <x:c r="W278" s="1" t="n">
        <x:v>0</x:v>
      </x:c>
      <x:c r="X278" s="1" t="str">
        <x:v>Not applicable</x:v>
      </x:c>
      <x:c r="Y278" s="1" t="n">
        <x:f>IF(V278=1,IF(E278="GRANTED",IF(X278="GRANTED",1,0),IF(X278="DENIED",1,0)),0)</x:f>
        <x:v>0</x:v>
      </x:c>
    </x:row>
    <x:row r="279" ht="23" customHeight="1">
      <x:c r="A279" s="9" t="n">
        <x:v>46247.441581747684</x:v>
      </x:c>
      <x:c r="B279" s="1" t="str">
        <x:v>Teresita Gonzales</x:v>
      </x:c>
      <x:c r="C279" s="1" t="str">
        <x:v>Exit</x:v>
      </x:c>
      <x:c r="D279" s="1" t="str">
        <x:v>Fast</x:v>
      </x:c>
      <x:c r="E279" s="1" t="str">
        <x:v>GRANTED</x:v>
      </x:c>
      <x:c r="F279" s="11" t="n">
        <x:v>11.294</x:v>
      </x:c>
      <x:c r="G279" s="11" t="str">
        <x:v>N/A (Bypassed)</x:v>
      </x:c>
      <x:c r="H279" s="11" t="str">
        <x:v>N/A (Bypassed)</x:v>
      </x:c>
      <x:c r="I279" s="11" t="str">
        <x:v>N/A (Bypassed)</x:v>
      </x:c>
      <x:c r="J279" s="11" t="str">
        <x:v>N/A (Bypassed)</x:v>
      </x:c>
      <x:c r="K279" s="11" t="str">
        <x:v>N/A</x:v>
      </x:c>
      <x:c r="L279" s="11" t="n">
        <x:v>11.294</x:v>
      </x:c>
      <x:c r="M279" s="11" t="n">
        <x:v>2.9852</x:v>
      </x:c>
      <x:c r="N279" s="1" t="str">
        <x:v>6898be28591c4e1abe73f83f56b307e4</x:v>
      </x:c>
      <x:c r="O279" s="1" t="str">
        <x:v>Admin Office - 1</x:v>
      </x:c>
      <x:c r="P279" s="1" t="n">
        <x:v>2</x:v>
      </x:c>
      <x:c r="Q279" s="1" t="str">
        <x:v>fast_mode_logs</x:v>
      </x:c>
      <x:c r="R279" s="1" t="n">
        <x:v>25</x:v>
      </x:c>
      <x:c r="S279" s="1" t="str">
        <x:v>Reset exit</x:v>
      </x:c>
      <x:c r="T279" s="1"/>
      <x:c r="U279" s="5" t="str"/>
      <x:c r="V279" s="1" t="n">
        <x:v>0</x:v>
      </x:c>
      <x:c r="W279" s="1" t="n">
        <x:v>0</x:v>
      </x:c>
      <x:c r="X279" s="1" t="str">
        <x:v>Not applicable</x:v>
      </x:c>
      <x:c r="Y279" s="1" t="n">
        <x:f>IF(V279=1,IF(E279="GRANTED",IF(X279="GRANTED",1,0),IF(X279="DENIED",1,0)),0)</x:f>
        <x:v>0</x:v>
      </x:c>
    </x:row>
    <x:row r="280" ht="23" customHeight="1">
      <x:c r="A280" s="9" t="n">
        <x:v>46247.441558391205</x:v>
      </x:c>
      <x:c r="B280" s="1" t="str">
        <x:v>Ana Delos Reyes</x:v>
      </x:c>
      <x:c r="C280" s="1" t="str">
        <x:v>Exit</x:v>
      </x:c>
      <x:c r="D280" s="1" t="str">
        <x:v>Fast</x:v>
      </x:c>
      <x:c r="E280" s="1" t="str">
        <x:v>GRANTED</x:v>
      </x:c>
      <x:c r="F280" s="11" t="n">
        <x:v>10.2822</x:v>
      </x:c>
      <x:c r="G280" s="11" t="str">
        <x:v>N/A (Bypassed)</x:v>
      </x:c>
      <x:c r="H280" s="11" t="str">
        <x:v>N/A (Bypassed)</x:v>
      </x:c>
      <x:c r="I280" s="11" t="str">
        <x:v>N/A (Bypassed)</x:v>
      </x:c>
      <x:c r="J280" s="11" t="str">
        <x:v>N/A (Bypassed)</x:v>
      </x:c>
      <x:c r="K280" s="11" t="str">
        <x:v>N/A</x:v>
      </x:c>
      <x:c r="L280" s="11" t="n">
        <x:v>10.2822</x:v>
      </x:c>
      <x:c r="M280" s="11" t="n">
        <x:v>2.57</x:v>
      </x:c>
      <x:c r="N280" s="1" t="str">
        <x:v>6898be28591c4e1abe73f83f56b307e4</x:v>
      </x:c>
      <x:c r="O280" s="1" t="str">
        <x:v>Admin Office - 1</x:v>
      </x:c>
      <x:c r="P280" s="1" t="n">
        <x:v>2</x:v>
      </x:c>
      <x:c r="Q280" s="1" t="str">
        <x:v>fast_mode_logs</x:v>
      </x:c>
      <x:c r="R280" s="1" t="n">
        <x:v>26</x:v>
      </x:c>
      <x:c r="S280" s="1" t="str">
        <x:v>Reset exit</x:v>
      </x:c>
      <x:c r="T280" s="1"/>
      <x:c r="U280" s="5" t="str"/>
      <x:c r="V280" s="1" t="n">
        <x:v>0</x:v>
      </x:c>
      <x:c r="W280" s="1" t="n">
        <x:v>0</x:v>
      </x:c>
      <x:c r="X280" s="1" t="str">
        <x:v>Not applicable</x:v>
      </x:c>
      <x:c r="Y280" s="1" t="n">
        <x:f>IF(V280=1,IF(E280="GRANTED",IF(X280="GRANTED",1,0),IF(X280="DENIED",1,0)),0)</x:f>
        <x:v>0</x:v>
      </x:c>
    </x:row>
    <x:row r="281" ht="23" customHeight="1">
      <x:c r="A281" s="9" t="n">
        <x:v>46247.44153252315</x:v>
      </x:c>
      <x:c r="B281" s="1" t="str">
        <x:v>Maria Santos</x:v>
      </x:c>
      <x:c r="C281" s="1" t="str">
        <x:v>Exit</x:v>
      </x:c>
      <x:c r="D281" s="1" t="str">
        <x:v>Fast</x:v>
      </x:c>
      <x:c r="E281" s="1" t="str">
        <x:v>GRANTED</x:v>
      </x:c>
      <x:c r="F281" s="11" t="n">
        <x:v>17.4372</x:v>
      </x:c>
      <x:c r="G281" s="11" t="str">
        <x:v>N/A (Bypassed)</x:v>
      </x:c>
      <x:c r="H281" s="11" t="str">
        <x:v>N/A (Bypassed)</x:v>
      </x:c>
      <x:c r="I281" s="11" t="str">
        <x:v>N/A (Bypassed)</x:v>
      </x:c>
      <x:c r="J281" s="11" t="str">
        <x:v>N/A (Bypassed)</x:v>
      </x:c>
      <x:c r="K281" s="11" t="str">
        <x:v>N/A</x:v>
      </x:c>
      <x:c r="L281" s="11" t="n">
        <x:v>17.4372</x:v>
      </x:c>
      <x:c r="M281" s="11" t="n">
        <x:v>2.8896</x:v>
      </x:c>
      <x:c r="N281" s="1" t="str">
        <x:v>6898be28591c4e1abe73f83f56b307e4</x:v>
      </x:c>
      <x:c r="O281" s="1" t="str">
        <x:v>Admin Office - 1</x:v>
      </x:c>
      <x:c r="P281" s="1" t="n">
        <x:v>2</x:v>
      </x:c>
      <x:c r="Q281" s="1" t="str">
        <x:v>fast_mode_logs</x:v>
      </x:c>
      <x:c r="R281" s="1" t="n">
        <x:v>27</x:v>
      </x:c>
      <x:c r="S281" s="1" t="str">
        <x:v>Reset exit</x:v>
      </x:c>
      <x:c r="T281" s="1"/>
      <x:c r="U281" s="5" t="str"/>
      <x:c r="V281" s="1" t="n">
        <x:v>0</x:v>
      </x:c>
      <x:c r="W281" s="1" t="n">
        <x:v>0</x:v>
      </x:c>
      <x:c r="X281" s="1" t="str">
        <x:v>Not applicable</x:v>
      </x:c>
      <x:c r="Y281" s="1" t="n">
        <x:f>IF(V281=1,IF(E281="GRANTED",IF(X281="GRANTED",1,0),IF(X281="DENIED",1,0)),0)</x:f>
        <x:v>0</x:v>
      </x:c>
    </x:row>
    <x:row r="282" ht="23" customHeight="1">
      <x:c r="A282" s="9" t="n">
        <x:v>46247.44150586806</x:v>
      </x:c>
      <x:c r="B282" s="1" t="str">
        <x:v>Maria Clara</x:v>
      </x:c>
      <x:c r="C282" s="1" t="str">
        <x:v>Exit</x:v>
      </x:c>
      <x:c r="D282" s="1" t="str">
        <x:v>Fast</x:v>
      </x:c>
      <x:c r="E282" s="1" t="str">
        <x:v>GRANTED</x:v>
      </x:c>
      <x:c r="F282" s="11" t="n">
        <x:v>10.8596</x:v>
      </x:c>
      <x:c r="G282" s="11" t="str">
        <x:v>N/A (Bypassed)</x:v>
      </x:c>
      <x:c r="H282" s="11" t="str">
        <x:v>N/A (Bypassed)</x:v>
      </x:c>
      <x:c r="I282" s="11" t="str">
        <x:v>N/A (Bypassed)</x:v>
      </x:c>
      <x:c r="J282" s="11" t="str">
        <x:v>N/A (Bypassed)</x:v>
      </x:c>
      <x:c r="K282" s="11" t="str">
        <x:v>N/A</x:v>
      </x:c>
      <x:c r="L282" s="11" t="n">
        <x:v>10.8596</x:v>
      </x:c>
      <x:c r="M282" s="11" t="n">
        <x:v>2.8203</x:v>
      </x:c>
      <x:c r="N282" s="1" t="str">
        <x:v>6898be28591c4e1abe73f83f56b307e4</x:v>
      </x:c>
      <x:c r="O282" s="1" t="str">
        <x:v>Admin Office - 1</x:v>
      </x:c>
      <x:c r="P282" s="1" t="n">
        <x:v>2</x:v>
      </x:c>
      <x:c r="Q282" s="1" t="str">
        <x:v>fast_mode_logs</x:v>
      </x:c>
      <x:c r="R282" s="1" t="n">
        <x:v>28</x:v>
      </x:c>
      <x:c r="S282" s="1" t="str">
        <x:v>Reset exit</x:v>
      </x:c>
      <x:c r="T282" s="1"/>
      <x:c r="U282" s="5" t="str"/>
      <x:c r="V282" s="1" t="n">
        <x:v>0</x:v>
      </x:c>
      <x:c r="W282" s="1" t="n">
        <x:v>0</x:v>
      </x:c>
      <x:c r="X282" s="1" t="str">
        <x:v>Not applicable</x:v>
      </x:c>
      <x:c r="Y282" s="1" t="n">
        <x:f>IF(V282=1,IF(E282="GRANTED",IF(X282="GRANTED",1,0),IF(X282="DENIED",1,0)),0)</x:f>
        <x:v>0</x:v>
      </x:c>
    </x:row>
    <x:row r="283" ht="23" customHeight="1">
      <x:c r="A283" s="9" t="n">
        <x:v>46247.44147914352</x:v>
      </x:c>
      <x:c r="B283" s="1" t="str">
        <x:v>Juana Dela Cruz</x:v>
      </x:c>
      <x:c r="C283" s="1" t="str">
        <x:v>Exit</x:v>
      </x:c>
      <x:c r="D283" s="1" t="str">
        <x:v>Fast</x:v>
      </x:c>
      <x:c r="E283" s="1" t="str">
        <x:v>GRANTED</x:v>
      </x:c>
      <x:c r="F283" s="11" t="n">
        <x:v>9.9158</x:v>
      </x:c>
      <x:c r="G283" s="11" t="str">
        <x:v>N/A (Bypassed)</x:v>
      </x:c>
      <x:c r="H283" s="11" t="str">
        <x:v>N/A (Bypassed)</x:v>
      </x:c>
      <x:c r="I283" s="11" t="str">
        <x:v>N/A (Bypassed)</x:v>
      </x:c>
      <x:c r="J283" s="11" t="str">
        <x:v>N/A (Bypassed)</x:v>
      </x:c>
      <x:c r="K283" s="11" t="str">
        <x:v>N/A</x:v>
      </x:c>
      <x:c r="L283" s="11" t="n">
        <x:v>9.9158</x:v>
      </x:c>
      <x:c r="M283" s="11" t="n">
        <x:v>2.7077</x:v>
      </x:c>
      <x:c r="N283" s="1" t="str">
        <x:v>6898be28591c4e1abe73f83f56b307e4</x:v>
      </x:c>
      <x:c r="O283" s="1" t="str">
        <x:v>Admin Office - 1</x:v>
      </x:c>
      <x:c r="P283" s="1" t="n">
        <x:v>2</x:v>
      </x:c>
      <x:c r="Q283" s="1" t="str">
        <x:v>fast_mode_logs</x:v>
      </x:c>
      <x:c r="R283" s="1" t="n">
        <x:v>29</x:v>
      </x:c>
      <x:c r="S283" s="1" t="str">
        <x:v>Reset exit</x:v>
      </x:c>
      <x:c r="T283" s="1"/>
      <x:c r="U283" s="5" t="str"/>
      <x:c r="V283" s="1" t="n">
        <x:v>0</x:v>
      </x:c>
      <x:c r="W283" s="1" t="n">
        <x:v>0</x:v>
      </x:c>
      <x:c r="X283" s="1" t="str">
        <x:v>Not applicable</x:v>
      </x:c>
      <x:c r="Y283" s="1" t="n">
        <x:f>IF(V283=1,IF(E283="GRANTED",IF(X283="GRANTED",1,0),IF(X283="DENIED",1,0)),0)</x:f>
        <x:v>0</x:v>
      </x:c>
    </x:row>
    <x:row r="284" ht="23" customHeight="1">
      <x:c r="A284" s="9" t="n">
        <x:v>46247.44145641204</x:v>
      </x:c>
      <x:c r="B284" s="1" t="str">
        <x:v>Maria Dela Cruz</x:v>
      </x:c>
      <x:c r="C284" s="1" t="str">
        <x:v>Exit</x:v>
      </x:c>
      <x:c r="D284" s="1" t="str">
        <x:v>Fast</x:v>
      </x:c>
      <x:c r="E284" s="1" t="str">
        <x:v>GRANTED</x:v>
      </x:c>
      <x:c r="F284" s="11" t="n">
        <x:v>11.7353</x:v>
      </x:c>
      <x:c r="G284" s="11" t="str">
        <x:v>N/A (Bypassed)</x:v>
      </x:c>
      <x:c r="H284" s="11" t="str">
        <x:v>N/A (Bypassed)</x:v>
      </x:c>
      <x:c r="I284" s="11" t="str">
        <x:v>N/A (Bypassed)</x:v>
      </x:c>
      <x:c r="J284" s="11" t="str">
        <x:v>N/A (Bypassed)</x:v>
      </x:c>
      <x:c r="K284" s="11" t="str">
        <x:v>N/A</x:v>
      </x:c>
      <x:c r="L284" s="11" t="n">
        <x:v>11.7353</x:v>
      </x:c>
      <x:c r="M284" s="11" t="n">
        <x:v>3.8501</x:v>
      </x:c>
      <x:c r="N284" s="1" t="str">
        <x:v>6898be28591c4e1abe73f83f56b307e4</x:v>
      </x:c>
      <x:c r="O284" s="1" t="str">
        <x:v>Admin Office - 1</x:v>
      </x:c>
      <x:c r="P284" s="1" t="n">
        <x:v>2</x:v>
      </x:c>
      <x:c r="Q284" s="1" t="str">
        <x:v>fast_mode_logs</x:v>
      </x:c>
      <x:c r="R284" s="1" t="n">
        <x:v>30</x:v>
      </x:c>
      <x:c r="S284" s="1" t="str">
        <x:v>Reset exit</x:v>
      </x:c>
      <x:c r="T284" s="1"/>
      <x:c r="U284" s="5" t="str"/>
      <x:c r="V284" s="1" t="n">
        <x:v>0</x:v>
      </x:c>
      <x:c r="W284" s="1" t="n">
        <x:v>0</x:v>
      </x:c>
      <x:c r="X284" s="1" t="str">
        <x:v>Not applicable</x:v>
      </x:c>
      <x:c r="Y284" s="1" t="n">
        <x:f>IF(V284=1,IF(E284="GRANTED",IF(X284="GRANTED",1,0),IF(X284="DENIED",1,0)),0)</x:f>
        <x:v>0</x:v>
      </x:c>
    </x:row>
    <x:row r="285" ht="23" customHeight="1">
      <x:c r="A285" s="9" t="n">
        <x:v>46247.44143211805</x:v>
      </x:c>
      <x:c r="B285" s="1" t="str">
        <x:v>Basilio Magbanua</x:v>
      </x:c>
      <x:c r="C285" s="1" t="str">
        <x:v>Exit</x:v>
      </x:c>
      <x:c r="D285" s="1" t="str">
        <x:v>Fast</x:v>
      </x:c>
      <x:c r="E285" s="1" t="str">
        <x:v>GRANTED</x:v>
      </x:c>
      <x:c r="F285" s="11" t="n">
        <x:v>39.9746</x:v>
      </x:c>
      <x:c r="G285" s="11" t="str">
        <x:v>N/A (Bypassed)</x:v>
      </x:c>
      <x:c r="H285" s="11" t="str">
        <x:v>N/A (Bypassed)</x:v>
      </x:c>
      <x:c r="I285" s="11" t="str">
        <x:v>N/A (Bypassed)</x:v>
      </x:c>
      <x:c r="J285" s="11" t="str">
        <x:v>N/A (Bypassed)</x:v>
      </x:c>
      <x:c r="K285" s="11" t="str">
        <x:v>N/A</x:v>
      </x:c>
      <x:c r="L285" s="11" t="n">
        <x:v>39.9746</x:v>
      </x:c>
      <x:c r="M285" s="11" t="n">
        <x:v>2.6632</x:v>
      </x:c>
      <x:c r="N285" s="1" t="str">
        <x:v>6898be28591c4e1abe73f83f56b307e4</x:v>
      </x:c>
      <x:c r="O285" s="1" t="str">
        <x:v>Admin Office - 1</x:v>
      </x:c>
      <x:c r="P285" s="1" t="n">
        <x:v>2</x:v>
      </x:c>
      <x:c r="Q285" s="1" t="str">
        <x:v>fast_mode_logs</x:v>
      </x:c>
      <x:c r="R285" s="1" t="n">
        <x:v>31</x:v>
      </x:c>
      <x:c r="S285" s="1" t="str">
        <x:v>Reset exit</x:v>
      </x:c>
      <x:c r="T285" s="1"/>
      <x:c r="U285" s="5" t="str"/>
      <x:c r="V285" s="1" t="n">
        <x:v>0</x:v>
      </x:c>
      <x:c r="W285" s="1" t="n">
        <x:v>0</x:v>
      </x:c>
      <x:c r="X285" s="1" t="str">
        <x:v>Not applicable</x:v>
      </x:c>
      <x:c r="Y285" s="1" t="n">
        <x:f>IF(V285=1,IF(E285="GRANTED",IF(X285="GRANTED",1,0),IF(X285="DENIED",1,0)),0)</x:f>
        <x:v>0</x:v>
      </x:c>
    </x:row>
    <x:row r="286" ht="23" customHeight="1">
      <x:c r="A286" s="9" t="n">
        <x:v>46247.44140917824</x:v>
      </x:c>
      <x:c r="B286" s="1" t="str">
        <x:v>Bayani Dela Rosa</x:v>
      </x:c>
      <x:c r="C286" s="1" t="str">
        <x:v>Exit</x:v>
      </x:c>
      <x:c r="D286" s="1" t="str">
        <x:v>Fast</x:v>
      </x:c>
      <x:c r="E286" s="1" t="str">
        <x:v>GRANTED</x:v>
      </x:c>
      <x:c r="F286" s="11" t="n">
        <x:v>39.8989</x:v>
      </x:c>
      <x:c r="G286" s="11" t="str">
        <x:v>N/A (Bypassed)</x:v>
      </x:c>
      <x:c r="H286" s="11" t="str">
        <x:v>N/A (Bypassed)</x:v>
      </x:c>
      <x:c r="I286" s="11" t="str">
        <x:v>N/A (Bypassed)</x:v>
      </x:c>
      <x:c r="J286" s="11" t="str">
        <x:v>N/A (Bypassed)</x:v>
      </x:c>
      <x:c r="K286" s="11" t="str">
        <x:v>N/A</x:v>
      </x:c>
      <x:c r="L286" s="11" t="n">
        <x:v>39.8989</x:v>
      </x:c>
      <x:c r="M286" s="11" t="n">
        <x:v>32.6001</x:v>
      </x:c>
      <x:c r="N286" s="1" t="str">
        <x:v>6898be28591c4e1abe73f83f56b307e4</x:v>
      </x:c>
      <x:c r="O286" s="1" t="str">
        <x:v>Admin Office - 1</x:v>
      </x:c>
      <x:c r="P286" s="1" t="n">
        <x:v>2</x:v>
      </x:c>
      <x:c r="Q286" s="1" t="str">
        <x:v>fast_mode_logs</x:v>
      </x:c>
      <x:c r="R286" s="1" t="n">
        <x:v>32</x:v>
      </x:c>
      <x:c r="S286" s="1" t="str">
        <x:v>Reset exit</x:v>
      </x:c>
      <x:c r="T286" s="1"/>
      <x:c r="U286" s="5" t="str"/>
      <x:c r="V286" s="1" t="n">
        <x:v>0</x:v>
      </x:c>
      <x:c r="W286" s="1" t="n">
        <x:v>0</x:v>
      </x:c>
      <x:c r="X286" s="1" t="str">
        <x:v>Not applicable</x:v>
      </x:c>
      <x:c r="Y286" s="1" t="n">
        <x:f>IF(V286=1,IF(E286="GRANTED",IF(X286="GRANTED",1,0),IF(X286="DENIED",1,0)),0)</x:f>
        <x:v>0</x:v>
      </x:c>
    </x:row>
    <x:row r="287" ht="23" customHeight="1">
      <x:c r="A287" s="9" t="n">
        <x:v>46247.441386481485</x:v>
      </x:c>
      <x:c r="B287" s="1" t="str">
        <x:v>Jose Mari Bautista</x:v>
      </x:c>
      <x:c r="C287" s="1" t="str">
        <x:v>Exit</x:v>
      </x:c>
      <x:c r="D287" s="1" t="str">
        <x:v>Fast</x:v>
      </x:c>
      <x:c r="E287" s="1" t="str">
        <x:v>GRANTED</x:v>
      </x:c>
      <x:c r="F287" s="11" t="n">
        <x:v>40.0784</x:v>
      </x:c>
      <x:c r="G287" s="11" t="str">
        <x:v>N/A (Bypassed)</x:v>
      </x:c>
      <x:c r="H287" s="11" t="str">
        <x:v>N/A (Bypassed)</x:v>
      </x:c>
      <x:c r="I287" s="11" t="str">
        <x:v>N/A (Bypassed)</x:v>
      </x:c>
      <x:c r="J287" s="11" t="str">
        <x:v>N/A (Bypassed)</x:v>
      </x:c>
      <x:c r="K287" s="11" t="str">
        <x:v>N/A</x:v>
      </x:c>
      <x:c r="L287" s="11" t="n">
        <x:v>40.0784</x:v>
      </x:c>
      <x:c r="M287" s="11" t="n">
        <x:v>2.8461</x:v>
      </x:c>
      <x:c r="N287" s="1" t="str">
        <x:v>6898be28591c4e1abe73f83f56b307e4</x:v>
      </x:c>
      <x:c r="O287" s="1" t="str">
        <x:v>Admin Office - 1</x:v>
      </x:c>
      <x:c r="P287" s="1" t="n">
        <x:v>2</x:v>
      </x:c>
      <x:c r="Q287" s="1" t="str">
        <x:v>fast_mode_logs</x:v>
      </x:c>
      <x:c r="R287" s="1" t="n">
        <x:v>33</x:v>
      </x:c>
      <x:c r="S287" s="1" t="str">
        <x:v>Reset exit</x:v>
      </x:c>
      <x:c r="T287" s="1"/>
      <x:c r="U287" s="5" t="str"/>
      <x:c r="V287" s="1" t="n">
        <x:v>0</x:v>
      </x:c>
      <x:c r="W287" s="1" t="n">
        <x:v>0</x:v>
      </x:c>
      <x:c r="X287" s="1" t="str">
        <x:v>Not applicable</x:v>
      </x:c>
      <x:c r="Y287" s="1" t="n">
        <x:f>IF(V287=1,IF(E287="GRANTED",IF(X287="GRANTED",1,0),IF(X287="DENIED",1,0)),0)</x:f>
        <x:v>0</x:v>
      </x:c>
    </x:row>
    <x:row r="288" ht="23" customHeight="1">
      <x:c r="A288" s="9" t="n">
        <x:v>46247.441353368056</x:v>
      </x:c>
      <x:c r="B288" s="1" t="str">
        <x:v>Angelito Fernandez</x:v>
      </x:c>
      <x:c r="C288" s="1" t="str">
        <x:v>Exit</x:v>
      </x:c>
      <x:c r="D288" s="1" t="str">
        <x:v>Fast</x:v>
      </x:c>
      <x:c r="E288" s="1" t="str">
        <x:v>GRANTED</x:v>
      </x:c>
      <x:c r="F288" s="11" t="n">
        <x:v>41.7858</x:v>
      </x:c>
      <x:c r="G288" s="11" t="str">
        <x:v>N/A (Bypassed)</x:v>
      </x:c>
      <x:c r="H288" s="11" t="str">
        <x:v>N/A (Bypassed)</x:v>
      </x:c>
      <x:c r="I288" s="11" t="str">
        <x:v>N/A (Bypassed)</x:v>
      </x:c>
      <x:c r="J288" s="11" t="str">
        <x:v>N/A (Bypassed)</x:v>
      </x:c>
      <x:c r="K288" s="11" t="str">
        <x:v>N/A</x:v>
      </x:c>
      <x:c r="L288" s="11" t="n">
        <x:v>41.7858</x:v>
      </x:c>
      <x:c r="M288" s="11" t="n">
        <x:v>2.5264</x:v>
      </x:c>
      <x:c r="N288" s="1" t="str">
        <x:v>6898be28591c4e1abe73f83f56b307e4</x:v>
      </x:c>
      <x:c r="O288" s="1" t="str">
        <x:v>Admin Office - 1</x:v>
      </x:c>
      <x:c r="P288" s="1" t="n">
        <x:v>2</x:v>
      </x:c>
      <x:c r="Q288" s="1" t="str">
        <x:v>fast_mode_logs</x:v>
      </x:c>
      <x:c r="R288" s="1" t="n">
        <x:v>34</x:v>
      </x:c>
      <x:c r="S288" s="1" t="str">
        <x:v>Reset exit</x:v>
      </x:c>
      <x:c r="T288" s="1"/>
      <x:c r="U288" s="5" t="str"/>
      <x:c r="V288" s="1" t="n">
        <x:v>0</x:v>
      </x:c>
      <x:c r="W288" s="1" t="n">
        <x:v>0</x:v>
      </x:c>
      <x:c r="X288" s="1" t="str">
        <x:v>Not applicable</x:v>
      </x:c>
      <x:c r="Y288" s="1" t="n">
        <x:f>IF(V288=1,IF(E288="GRANTED",IF(X288="GRANTED",1,0),IF(X288="DENIED",1,0)),0)</x:f>
        <x:v>0</x:v>
      </x:c>
    </x:row>
    <x:row r="289" ht="23" customHeight="1">
      <x:c r="A289" s="9" t="n">
        <x:v>46247.44133248842</x:v>
      </x:c>
      <x:c r="B289" s="1" t="str">
        <x:v>Roberto Ramos</x:v>
      </x:c>
      <x:c r="C289" s="1" t="str">
        <x:v>Exit</x:v>
      </x:c>
      <x:c r="D289" s="1" t="str">
        <x:v>Fast</x:v>
      </x:c>
      <x:c r="E289" s="1" t="str">
        <x:v>GRANTED</x:v>
      </x:c>
      <x:c r="F289" s="11" t="n">
        <x:v>44.3631</x:v>
      </x:c>
      <x:c r="G289" s="11" t="str">
        <x:v>N/A (Bypassed)</x:v>
      </x:c>
      <x:c r="H289" s="11" t="str">
        <x:v>N/A (Bypassed)</x:v>
      </x:c>
      <x:c r="I289" s="11" t="str">
        <x:v>N/A (Bypassed)</x:v>
      </x:c>
      <x:c r="J289" s="11" t="str">
        <x:v>N/A (Bypassed)</x:v>
      </x:c>
      <x:c r="K289" s="11" t="str">
        <x:v>N/A</x:v>
      </x:c>
      <x:c r="L289" s="11" t="n">
        <x:v>44.3631</x:v>
      </x:c>
      <x:c r="M289" s="11" t="n">
        <x:v>2.3542</x:v>
      </x:c>
      <x:c r="N289" s="1" t="str">
        <x:v>6898be28591c4e1abe73f83f56b307e4</x:v>
      </x:c>
      <x:c r="O289" s="1" t="str">
        <x:v>Admin Office - 1</x:v>
      </x:c>
      <x:c r="P289" s="1" t="n">
        <x:v>2</x:v>
      </x:c>
      <x:c r="Q289" s="1" t="str">
        <x:v>fast_mode_logs</x:v>
      </x:c>
      <x:c r="R289" s="1" t="n">
        <x:v>35</x:v>
      </x:c>
      <x:c r="S289" s="1" t="str">
        <x:v>Reset exit</x:v>
      </x:c>
      <x:c r="T289" s="1"/>
      <x:c r="U289" s="5" t="str"/>
      <x:c r="V289" s="1" t="n">
        <x:v>0</x:v>
      </x:c>
      <x:c r="W289" s="1" t="n">
        <x:v>0</x:v>
      </x:c>
      <x:c r="X289" s="1" t="str">
        <x:v>Not applicable</x:v>
      </x:c>
      <x:c r="Y289" s="1" t="n">
        <x:f>IF(V289=1,IF(E289="GRANTED",IF(X289="GRANTED",1,0),IF(X289="DENIED",1,0)),0)</x:f>
        <x:v>0</x:v>
      </x:c>
    </x:row>
    <x:row r="290" ht="23" customHeight="1">
      <x:c r="A290" s="9" t="n">
        <x:v>46247.44131212963</x:v>
      </x:c>
      <x:c r="B290" s="1" t="str">
        <x:v>Juanito Delos Santos</x:v>
      </x:c>
      <x:c r="C290" s="1" t="str">
        <x:v>Exit</x:v>
      </x:c>
      <x:c r="D290" s="1" t="str">
        <x:v>Fast</x:v>
      </x:c>
      <x:c r="E290" s="1" t="str">
        <x:v>GRANTED</x:v>
      </x:c>
      <x:c r="F290" s="11" t="n">
        <x:v>46.2334</x:v>
      </x:c>
      <x:c r="G290" s="11" t="str">
        <x:v>N/A (Bypassed)</x:v>
      </x:c>
      <x:c r="H290" s="11" t="str">
        <x:v>N/A (Bypassed)</x:v>
      </x:c>
      <x:c r="I290" s="11" t="str">
        <x:v>N/A (Bypassed)</x:v>
      </x:c>
      <x:c r="J290" s="11" t="str">
        <x:v>N/A (Bypassed)</x:v>
      </x:c>
      <x:c r="K290" s="11" t="str">
        <x:v>N/A</x:v>
      </x:c>
      <x:c r="L290" s="11" t="n">
        <x:v>46.2334</x:v>
      </x:c>
      <x:c r="M290" s="11" t="n">
        <x:v>2.5955</x:v>
      </x:c>
      <x:c r="N290" s="1" t="str">
        <x:v>6898be28591c4e1abe73f83f56b307e4</x:v>
      </x:c>
      <x:c r="O290" s="1" t="str">
        <x:v>Admin Office - 1</x:v>
      </x:c>
      <x:c r="P290" s="1" t="n">
        <x:v>2</x:v>
      </x:c>
      <x:c r="Q290" s="1" t="str">
        <x:v>fast_mode_logs</x:v>
      </x:c>
      <x:c r="R290" s="1" t="n">
        <x:v>36</x:v>
      </x:c>
      <x:c r="S290" s="1" t="str">
        <x:v>Reset exit</x:v>
      </x:c>
      <x:c r="T290" s="1"/>
      <x:c r="U290" s="5" t="str"/>
      <x:c r="V290" s="1" t="n">
        <x:v>0</x:v>
      </x:c>
      <x:c r="W290" s="1" t="n">
        <x:v>0</x:v>
      </x:c>
      <x:c r="X290" s="1" t="str">
        <x:v>Not applicable</x:v>
      </x:c>
      <x:c r="Y290" s="1" t="n">
        <x:f>IF(V290=1,IF(E290="GRANTED",IF(X290="GRANTED",1,0),IF(X290="DENIED",1,0)),0)</x:f>
        <x:v>0</x:v>
      </x:c>
    </x:row>
    <x:row r="291" ht="23" customHeight="1">
      <x:c r="A291" s="9" t="n">
        <x:v>46247.44129174769</x:v>
      </x:c>
      <x:c r="B291" s="1" t="str">
        <x:v>[TEMP] Manuel Mendoza</x:v>
      </x:c>
      <x:c r="C291" s="1" t="str">
        <x:v>Exit</x:v>
      </x:c>
      <x:c r="D291" s="1" t="str">
        <x:v>Fast</x:v>
      </x:c>
      <x:c r="E291" s="1" t="str">
        <x:v>GRANTED</x:v>
      </x:c>
      <x:c r="F291" s="11" t="n">
        <x:v>38.3948</x:v>
      </x:c>
      <x:c r="G291" s="11" t="str">
        <x:v>N/A (Bypassed)</x:v>
      </x:c>
      <x:c r="H291" s="11" t="str">
        <x:v>N/A (Bypassed)</x:v>
      </x:c>
      <x:c r="I291" s="11" t="str">
        <x:v>N/A (Bypassed)</x:v>
      </x:c>
      <x:c r="J291" s="11" t="str">
        <x:v>N/A (Bypassed)</x:v>
      </x:c>
      <x:c r="K291" s="11" t="str">
        <x:v>N/A</x:v>
      </x:c>
      <x:c r="L291" s="11" t="n">
        <x:v>38.3948</x:v>
      </x:c>
      <x:c r="M291" s="11" t="n">
        <x:v>2.7443</x:v>
      </x:c>
      <x:c r="N291" s="1" t="str">
        <x:v>6898be28591c4e1abe73f83f56b307e4</x:v>
      </x:c>
      <x:c r="O291" s="1" t="str">
        <x:v>Admin Office - 1</x:v>
      </x:c>
      <x:c r="P291" s="1" t="n">
        <x:v>2</x:v>
      </x:c>
      <x:c r="Q291" s="1" t="str">
        <x:v>fast_mode_logs</x:v>
      </x:c>
      <x:c r="R291" s="1" t="n">
        <x:v>37</x:v>
      </x:c>
      <x:c r="S291" s="1" t="str">
        <x:v>Reset exit</x:v>
      </x:c>
      <x:c r="T291" s="1"/>
      <x:c r="U291" s="5" t="str"/>
      <x:c r="V291" s="1" t="n">
        <x:v>0</x:v>
      </x:c>
      <x:c r="W291" s="1" t="n">
        <x:v>0</x:v>
      </x:c>
      <x:c r="X291" s="1" t="str">
        <x:v>Not applicable</x:v>
      </x:c>
      <x:c r="Y291" s="1" t="n">
        <x:f>IF(V291=1,IF(E291="GRANTED",IF(X291="GRANTED",1,0),IF(X291="DENIED",1,0)),0)</x:f>
        <x:v>0</x:v>
      </x:c>
    </x:row>
    <x:row r="292" ht="23" customHeight="1">
      <x:c r="A292" s="9" t="n">
        <x:v>46247.44127092593</x:v>
      </x:c>
      <x:c r="B292" s="1" t="str">
        <x:v>Francisco Garcia</x:v>
      </x:c>
      <x:c r="C292" s="1" t="str">
        <x:v>Exit</x:v>
      </x:c>
      <x:c r="D292" s="1" t="str">
        <x:v>Fast</x:v>
      </x:c>
      <x:c r="E292" s="1" t="str">
        <x:v>GRANTED</x:v>
      </x:c>
      <x:c r="F292" s="11" t="n">
        <x:v>11.0313</x:v>
      </x:c>
      <x:c r="G292" s="11" t="str">
        <x:v>N/A (Bypassed)</x:v>
      </x:c>
      <x:c r="H292" s="11" t="str">
        <x:v>N/A (Bypassed)</x:v>
      </x:c>
      <x:c r="I292" s="11" t="str">
        <x:v>N/A (Bypassed)</x:v>
      </x:c>
      <x:c r="J292" s="11" t="str">
        <x:v>N/A (Bypassed)</x:v>
      </x:c>
      <x:c r="K292" s="11" t="str">
        <x:v>N/A</x:v>
      </x:c>
      <x:c r="L292" s="11" t="n">
        <x:v>11.0313</x:v>
      </x:c>
      <x:c r="M292" s="11" t="n">
        <x:v>3.1876</x:v>
      </x:c>
      <x:c r="N292" s="1" t="str">
        <x:v>6898be28591c4e1abe73f83f56b307e4</x:v>
      </x:c>
      <x:c r="O292" s="1" t="str">
        <x:v>Admin Office - 1</x:v>
      </x:c>
      <x:c r="P292" s="1" t="n">
        <x:v>2</x:v>
      </x:c>
      <x:c r="Q292" s="1" t="str">
        <x:v>fast_mode_logs</x:v>
      </x:c>
      <x:c r="R292" s="1" t="n">
        <x:v>38</x:v>
      </x:c>
      <x:c r="S292" s="1" t="str">
        <x:v>Reset exit</x:v>
      </x:c>
      <x:c r="T292" s="1"/>
      <x:c r="U292" s="5" t="str"/>
      <x:c r="V292" s="1" t="n">
        <x:v>0</x:v>
      </x:c>
      <x:c r="W292" s="1" t="n">
        <x:v>0</x:v>
      </x:c>
      <x:c r="X292" s="1" t="str">
        <x:v>Not applicable</x:v>
      </x:c>
      <x:c r="Y292" s="1" t="n">
        <x:f>IF(V292=1,IF(E292="GRANTED",IF(X292="GRANTED",1,0),IF(X292="DENIED",1,0)),0)</x:f>
        <x:v>0</x:v>
      </x:c>
    </x:row>
    <x:row r="293" ht="23" customHeight="1">
      <x:c r="A293" s="9" t="n">
        <x:v>46247.44124886574</x:v>
      </x:c>
      <x:c r="B293" s="1" t="str">
        <x:v>[TEMP] Pedro Reyes</x:v>
      </x:c>
      <x:c r="C293" s="1" t="str">
        <x:v>Exit</x:v>
      </x:c>
      <x:c r="D293" s="1" t="str">
        <x:v>Fast</x:v>
      </x:c>
      <x:c r="E293" s="1" t="str">
        <x:v>GRANTED</x:v>
      </x:c>
      <x:c r="F293" s="11" t="n">
        <x:v>11.2808</x:v>
      </x:c>
      <x:c r="G293" s="11" t="str">
        <x:v>N/A (Bypassed)</x:v>
      </x:c>
      <x:c r="H293" s="11" t="str">
        <x:v>N/A (Bypassed)</x:v>
      </x:c>
      <x:c r="I293" s="11" t="str">
        <x:v>N/A (Bypassed)</x:v>
      </x:c>
      <x:c r="J293" s="11" t="str">
        <x:v>N/A (Bypassed)</x:v>
      </x:c>
      <x:c r="K293" s="11" t="str">
        <x:v>N/A</x:v>
      </x:c>
      <x:c r="L293" s="11" t="n">
        <x:v>11.2808</x:v>
      </x:c>
      <x:c r="M293" s="11" t="n">
        <x:v>2.5666</x:v>
      </x:c>
      <x:c r="N293" s="1" t="str">
        <x:v>6898be28591c4e1abe73f83f56b307e4</x:v>
      </x:c>
      <x:c r="O293" s="1" t="str">
        <x:v>Admin Office - 1</x:v>
      </x:c>
      <x:c r="P293" s="1" t="n">
        <x:v>2</x:v>
      </x:c>
      <x:c r="Q293" s="1" t="str">
        <x:v>fast_mode_logs</x:v>
      </x:c>
      <x:c r="R293" s="1" t="n">
        <x:v>39</x:v>
      </x:c>
      <x:c r="S293" s="1" t="str">
        <x:v>Reset exit</x:v>
      </x:c>
      <x:c r="T293" s="1"/>
      <x:c r="U293" s="5" t="str"/>
      <x:c r="V293" s="1" t="n">
        <x:v>0</x:v>
      </x:c>
      <x:c r="W293" s="1" t="n">
        <x:v>0</x:v>
      </x:c>
      <x:c r="X293" s="1" t="str">
        <x:v>Not applicable</x:v>
      </x:c>
      <x:c r="Y293" s="1" t="n">
        <x:f>IF(V293=1,IF(E293="GRANTED",IF(X293="GRANTED",1,0),IF(X293="DENIED",1,0)),0)</x:f>
        <x:v>0</x:v>
      </x:c>
    </x:row>
    <x:row r="294" ht="23" customHeight="1">
      <x:c r="A294" s="9" t="n">
        <x:v>46247.441228888885</x:v>
      </x:c>
      <x:c r="B294" s="1" t="str">
        <x:v>[TEMP] Jose Santos</x:v>
      </x:c>
      <x:c r="C294" s="1" t="str">
        <x:v>Exit</x:v>
      </x:c>
      <x:c r="D294" s="1" t="str">
        <x:v>Fast</x:v>
      </x:c>
      <x:c r="E294" s="1" t="str">
        <x:v>GRANTED</x:v>
      </x:c>
      <x:c r="F294" s="11" t="n">
        <x:v>37.7077</x:v>
      </x:c>
      <x:c r="G294" s="11" t="str">
        <x:v>N/A (Bypassed)</x:v>
      </x:c>
      <x:c r="H294" s="11" t="str">
        <x:v>N/A (Bypassed)</x:v>
      </x:c>
      <x:c r="I294" s="11" t="str">
        <x:v>N/A (Bypassed)</x:v>
      </x:c>
      <x:c r="J294" s="11" t="str">
        <x:v>N/A (Bypassed)</x:v>
      </x:c>
      <x:c r="K294" s="11" t="str">
        <x:v>N/A</x:v>
      </x:c>
      <x:c r="L294" s="11" t="n">
        <x:v>37.7077</x:v>
      </x:c>
      <x:c r="M294" s="11" t="n">
        <x:v>2.5636</x:v>
      </x:c>
      <x:c r="N294" s="1" t="str">
        <x:v>6898be28591c4e1abe73f83f56b307e4</x:v>
      </x:c>
      <x:c r="O294" s="1" t="str">
        <x:v>Admin Office - 1</x:v>
      </x:c>
      <x:c r="P294" s="1" t="n">
        <x:v>2</x:v>
      </x:c>
      <x:c r="Q294" s="1" t="str">
        <x:v>fast_mode_logs</x:v>
      </x:c>
      <x:c r="R294" s="1" t="n">
        <x:v>40</x:v>
      </x:c>
      <x:c r="S294" s="1" t="str">
        <x:v>Reset exit</x:v>
      </x:c>
      <x:c r="T294" s="1"/>
      <x:c r="U294" s="5" t="str"/>
      <x:c r="V294" s="1" t="n">
        <x:v>0</x:v>
      </x:c>
      <x:c r="W294" s="1" t="n">
        <x:v>0</x:v>
      </x:c>
      <x:c r="X294" s="1" t="str">
        <x:v>Not applicable</x:v>
      </x:c>
      <x:c r="Y294" s="1" t="n">
        <x:f>IF(V294=1,IF(E294="GRANTED",IF(X294="GRANTED",1,0),IF(X294="DENIED",1,0)),0)</x:f>
        <x:v>0</x:v>
      </x:c>
    </x:row>
    <x:row r="295" ht="23" customHeight="1">
      <x:c r="A295" s="9" t="n">
        <x:v>46247.44120523148</x:v>
      </x:c>
      <x:c r="B295" s="1" t="str">
        <x:v>[TEMP] Juan Dela Cruz</x:v>
      </x:c>
      <x:c r="C295" s="1" t="str">
        <x:v>Exit</x:v>
      </x:c>
      <x:c r="D295" s="1" t="str">
        <x:v>Fast</x:v>
      </x:c>
      <x:c r="E295" s="1" t="str">
        <x:v>GRANTED</x:v>
      </x:c>
      <x:c r="F295" s="11" t="n">
        <x:v>10.0524</x:v>
      </x:c>
      <x:c r="G295" s="11" t="str">
        <x:v>N/A (Bypassed)</x:v>
      </x:c>
      <x:c r="H295" s="11" t="str">
        <x:v>N/A (Bypassed)</x:v>
      </x:c>
      <x:c r="I295" s="11" t="str">
        <x:v>N/A (Bypassed)</x:v>
      </x:c>
      <x:c r="J295" s="11" t="str">
        <x:v>N/A (Bypassed)</x:v>
      </x:c>
      <x:c r="K295" s="11" t="str">
        <x:v>N/A</x:v>
      </x:c>
      <x:c r="L295" s="11" t="n">
        <x:v>10.0524</x:v>
      </x:c>
      <x:c r="M295" s="11" t="n">
        <x:v>3.1738</x:v>
      </x:c>
      <x:c r="N295" s="1" t="str">
        <x:v>6898be28591c4e1abe73f83f56b307e4</x:v>
      </x:c>
      <x:c r="O295" s="1" t="str">
        <x:v>Admin Office - 1</x:v>
      </x:c>
      <x:c r="P295" s="1" t="n">
        <x:v>2</x:v>
      </x:c>
      <x:c r="Q295" s="1" t="str">
        <x:v>fast_mode_logs</x:v>
      </x:c>
      <x:c r="R295" s="1" t="n">
        <x:v>41</x:v>
      </x:c>
      <x:c r="S295" s="1" t="str">
        <x:v>Reset exit</x:v>
      </x:c>
      <x:c r="T295" s="1"/>
      <x:c r="U295" s="5" t="str"/>
      <x:c r="V295" s="1" t="n">
        <x:v>0</x:v>
      </x:c>
      <x:c r="W295" s="1" t="n">
        <x:v>0</x:v>
      </x:c>
      <x:c r="X295" s="1" t="str">
        <x:v>Not applicable</x:v>
      </x:c>
      <x:c r="Y295" s="1" t="n">
        <x:f>IF(V295=1,IF(E295="GRANTED",IF(X295="GRANTED",1,0),IF(X295="DENIED",1,0)),0)</x:f>
        <x:v>0</x:v>
      </x:c>
    </x:row>
    <x:row r="296" ht="23" customHeight="1">
      <x:c r="A296" s="9" t="n">
        <x:v>46247.44105116898</x:v>
      </x:c>
      <x:c r="B296" s="1" t="str">
        <x:v>Pedro Penduko</x:v>
      </x:c>
      <x:c r="C296" s="1" t="str">
        <x:v>Entry</x:v>
      </x:c>
      <x:c r="D296" s="1" t="str">
        <x:v>Fast</x:v>
      </x:c>
      <x:c r="E296" s="1" t="str">
        <x:v>GRANTED</x:v>
      </x:c>
      <x:c r="F296" s="11" t="n">
        <x:v>10.9479</x:v>
      </x:c>
      <x:c r="G296" s="11" t="str">
        <x:v>N/A (Bypassed)</x:v>
      </x:c>
      <x:c r="H296" s="11" t="str">
        <x:v>N/A (Bypassed)</x:v>
      </x:c>
      <x:c r="I296" s="11" t="str">
        <x:v>N/A (Bypassed)</x:v>
      </x:c>
      <x:c r="J296" s="11" t="str">
        <x:v>N/A (Bypassed)</x:v>
      </x:c>
      <x:c r="K296" s="11" t="str">
        <x:v>N/A</x:v>
      </x:c>
      <x:c r="L296" s="11" t="n">
        <x:v>10.9479</x:v>
      </x:c>
      <x:c r="M296" s="11" t="n">
        <x:v>3.8527</x:v>
      </x:c>
      <x:c r="N296" s="1" t="str">
        <x:v>6898be28591c4e1abe73f83f56b307e4</x:v>
      </x:c>
      <x:c r="O296" s="1" t="str">
        <x:v>Admin Office - 1</x:v>
      </x:c>
      <x:c r="P296" s="1" t="n">
        <x:v>2</x:v>
      </x:c>
      <x:c r="Q296" s="1" t="str">
        <x:v>fast_mode_logs</x:v>
      </x:c>
      <x:c r="R296" s="1" t="n">
        <x:v>42</x:v>
      </x:c>
      <x:c r="S296" s="1" t="str">
        <x:v>Successful entry</x:v>
      </x:c>
      <x:c r="T296" s="1" t="n">
        <x:v>1</x:v>
      </x:c>
      <x:c r="U296" s="5" t="str"/>
      <x:c r="V296" s="1" t="n">
        <x:v>1</x:v>
      </x:c>
      <x:c r="W296" s="1" t="n">
        <x:v>0</x:v>
      </x:c>
      <x:c r="X296" s="1" t="str">
        <x:v>GRANTED</x:v>
      </x:c>
      <x:c r="Y296" s="1" t="n">
        <x:f>IF(V296=1,IF(E296="GRANTED",IF(X296="GRANTED",1,0),IF(X296="DENIED",1,0)),0)</x:f>
        <x:v>1</x:v>
      </x:c>
    </x:row>
    <x:row r="297" ht="23" customHeight="1">
      <x:c r="A297" s="9" t="n">
        <x:v>46247.441027187495</x:v>
      </x:c>
      <x:c r="B297" s="1" t="str">
        <x:v>Juan Tamad</x:v>
      </x:c>
      <x:c r="C297" s="1" t="str">
        <x:v>Entry</x:v>
      </x:c>
      <x:c r="D297" s="1" t="str">
        <x:v>Fast</x:v>
      </x:c>
      <x:c r="E297" s="1" t="str">
        <x:v>GRANTED</x:v>
      </x:c>
      <x:c r="F297" s="11" t="n">
        <x:v>10.9615</x:v>
      </x:c>
      <x:c r="G297" s="11" t="str">
        <x:v>N/A (Bypassed)</x:v>
      </x:c>
      <x:c r="H297" s="11" t="str">
        <x:v>N/A (Bypassed)</x:v>
      </x:c>
      <x:c r="I297" s="11" t="str">
        <x:v>N/A (Bypassed)</x:v>
      </x:c>
      <x:c r="J297" s="11" t="str">
        <x:v>N/A (Bypassed)</x:v>
      </x:c>
      <x:c r="K297" s="11" t="str">
        <x:v>N/A</x:v>
      </x:c>
      <x:c r="L297" s="11" t="n">
        <x:v>10.9615</x:v>
      </x:c>
      <x:c r="M297" s="11" t="n">
        <x:v>2.5711</x:v>
      </x:c>
      <x:c r="N297" s="1" t="str">
        <x:v>6898be28591c4e1abe73f83f56b307e4</x:v>
      </x:c>
      <x:c r="O297" s="1" t="str">
        <x:v>Admin Office - 1</x:v>
      </x:c>
      <x:c r="P297" s="1" t="n">
        <x:v>2</x:v>
      </x:c>
      <x:c r="Q297" s="1" t="str">
        <x:v>fast_mode_logs</x:v>
      </x:c>
      <x:c r="R297" s="1" t="n">
        <x:v>43</x:v>
      </x:c>
      <x:c r="S297" s="1" t="str">
        <x:v>Successful entry</x:v>
      </x:c>
      <x:c r="T297" s="1" t="n">
        <x:v>1</x:v>
      </x:c>
      <x:c r="U297" s="5" t="str"/>
      <x:c r="V297" s="1" t="n">
        <x:v>1</x:v>
      </x:c>
      <x:c r="W297" s="1" t="n">
        <x:v>0</x:v>
      </x:c>
      <x:c r="X297" s="1" t="str">
        <x:v>GRANTED</x:v>
      </x:c>
      <x:c r="Y297" s="1" t="n">
        <x:f>IF(V297=1,IF(E297="GRANTED",IF(X297="GRANTED",1,0),IF(X297="DENIED",1,0)),0)</x:f>
        <x:v>1</x:v>
      </x:c>
    </x:row>
    <x:row r="298" ht="23" customHeight="1">
      <x:c r="A298" s="9" t="n">
        <x:v>46247.44100106481</x:v>
      </x:c>
      <x:c r="B298" s="1" t="str">
        <x:v>Luningning Santos</x:v>
      </x:c>
      <x:c r="C298" s="1" t="str">
        <x:v>Entry</x:v>
      </x:c>
      <x:c r="D298" s="1" t="str">
        <x:v>Fast</x:v>
      </x:c>
      <x:c r="E298" s="1" t="str">
        <x:v>GRANTED</x:v>
      </x:c>
      <x:c r="F298" s="11" t="n">
        <x:v>11.265</x:v>
      </x:c>
      <x:c r="G298" s="11" t="str">
        <x:v>N/A (Bypassed)</x:v>
      </x:c>
      <x:c r="H298" s="11" t="str">
        <x:v>N/A (Bypassed)</x:v>
      </x:c>
      <x:c r="I298" s="11" t="str">
        <x:v>N/A (Bypassed)</x:v>
      </x:c>
      <x:c r="J298" s="11" t="str">
        <x:v>N/A (Bypassed)</x:v>
      </x:c>
      <x:c r="K298" s="11" t="str">
        <x:v>N/A</x:v>
      </x:c>
      <x:c r="L298" s="11" t="n">
        <x:v>11.265</x:v>
      </x:c>
      <x:c r="M298" s="11" t="n">
        <x:v>3.6815</x:v>
      </x:c>
      <x:c r="N298" s="1" t="str">
        <x:v>6898be28591c4e1abe73f83f56b307e4</x:v>
      </x:c>
      <x:c r="O298" s="1" t="str">
        <x:v>Admin Office - 1</x:v>
      </x:c>
      <x:c r="P298" s="1" t="n">
        <x:v>2</x:v>
      </x:c>
      <x:c r="Q298" s="1" t="str">
        <x:v>fast_mode_logs</x:v>
      </x:c>
      <x:c r="R298" s="1" t="n">
        <x:v>44</x:v>
      </x:c>
      <x:c r="S298" s="1" t="str">
        <x:v>Successful entry</x:v>
      </x:c>
      <x:c r="T298" s="1" t="n">
        <x:v>1</x:v>
      </x:c>
      <x:c r="U298" s="5" t="str"/>
      <x:c r="V298" s="1" t="n">
        <x:v>1</x:v>
      </x:c>
      <x:c r="W298" s="1" t="n">
        <x:v>0</x:v>
      </x:c>
      <x:c r="X298" s="1" t="str">
        <x:v>GRANTED</x:v>
      </x:c>
      <x:c r="Y298" s="1" t="n">
        <x:f>IF(V298=1,IF(E298="GRANTED",IF(X298="GRANTED",1,0),IF(X298="DENIED",1,0)),0)</x:f>
        <x:v>1</x:v>
      </x:c>
    </x:row>
    <x:row r="299" ht="23" customHeight="1">
      <x:c r="A299" s="9" t="n">
        <x:v>46247.440979293984</x:v>
      </x:c>
      <x:c r="B299" s="1" t="str">
        <x:v>Teresita Gonzales</x:v>
      </x:c>
      <x:c r="C299" s="1" t="str">
        <x:v>Entry</x:v>
      </x:c>
      <x:c r="D299" s="1" t="str">
        <x:v>Fast</x:v>
      </x:c>
      <x:c r="E299" s="1" t="str">
        <x:v>GRANTED</x:v>
      </x:c>
      <x:c r="F299" s="11" t="n">
        <x:v>11.0949</x:v>
      </x:c>
      <x:c r="G299" s="11" t="str">
        <x:v>N/A (Bypassed)</x:v>
      </x:c>
      <x:c r="H299" s="11" t="str">
        <x:v>N/A (Bypassed)</x:v>
      </x:c>
      <x:c r="I299" s="11" t="str">
        <x:v>N/A (Bypassed)</x:v>
      </x:c>
      <x:c r="J299" s="11" t="str">
        <x:v>N/A (Bypassed)</x:v>
      </x:c>
      <x:c r="K299" s="11" t="str">
        <x:v>N/A</x:v>
      </x:c>
      <x:c r="L299" s="11" t="n">
        <x:v>11.0949</x:v>
      </x:c>
      <x:c r="M299" s="11" t="n">
        <x:v>4.5392</x:v>
      </x:c>
      <x:c r="N299" s="1" t="str">
        <x:v>6898be28591c4e1abe73f83f56b307e4</x:v>
      </x:c>
      <x:c r="O299" s="1" t="str">
        <x:v>Admin Office - 1</x:v>
      </x:c>
      <x:c r="P299" s="1" t="n">
        <x:v>2</x:v>
      </x:c>
      <x:c r="Q299" s="1" t="str">
        <x:v>fast_mode_logs</x:v>
      </x:c>
      <x:c r="R299" s="1" t="n">
        <x:v>45</x:v>
      </x:c>
      <x:c r="S299" s="1" t="str">
        <x:v>Successful entry</x:v>
      </x:c>
      <x:c r="T299" s="1" t="n">
        <x:v>1</x:v>
      </x:c>
      <x:c r="U299" s="5" t="str"/>
      <x:c r="V299" s="1" t="n">
        <x:v>1</x:v>
      </x:c>
      <x:c r="W299" s="1" t="n">
        <x:v>0</x:v>
      </x:c>
      <x:c r="X299" s="1" t="str">
        <x:v>GRANTED</x:v>
      </x:c>
      <x:c r="Y299" s="1" t="n">
        <x:f>IF(V299=1,IF(E299="GRANTED",IF(X299="GRANTED",1,0),IF(X299="DENIED",1,0)),0)</x:f>
        <x:v>1</x:v>
      </x:c>
    </x:row>
    <x:row r="300" ht="23" customHeight="1">
      <x:c r="A300" s="9" t="n">
        <x:v>46247.44095686343</x:v>
      </x:c>
      <x:c r="B300" s="1" t="str">
        <x:v>Ana Delos Reyes</x:v>
      </x:c>
      <x:c r="C300" s="1" t="str">
        <x:v>Entry</x:v>
      </x:c>
      <x:c r="D300" s="1" t="str">
        <x:v>Fast</x:v>
      </x:c>
      <x:c r="E300" s="1" t="str">
        <x:v>GRANTED</x:v>
      </x:c>
      <x:c r="F300" s="11" t="n">
        <x:v>10.4551</x:v>
      </x:c>
      <x:c r="G300" s="11" t="str">
        <x:v>N/A (Bypassed)</x:v>
      </x:c>
      <x:c r="H300" s="11" t="str">
        <x:v>N/A (Bypassed)</x:v>
      </x:c>
      <x:c r="I300" s="11" t="str">
        <x:v>N/A (Bypassed)</x:v>
      </x:c>
      <x:c r="J300" s="11" t="str">
        <x:v>N/A (Bypassed)</x:v>
      </x:c>
      <x:c r="K300" s="11" t="str">
        <x:v>N/A</x:v>
      </x:c>
      <x:c r="L300" s="11" t="n">
        <x:v>10.4551</x:v>
      </x:c>
      <x:c r="M300" s="11" t="n">
        <x:v>2.7939</x:v>
      </x:c>
      <x:c r="N300" s="1" t="str">
        <x:v>6898be28591c4e1abe73f83f56b307e4</x:v>
      </x:c>
      <x:c r="O300" s="1" t="str">
        <x:v>Admin Office - 1</x:v>
      </x:c>
      <x:c r="P300" s="1" t="n">
        <x:v>2</x:v>
      </x:c>
      <x:c r="Q300" s="1" t="str">
        <x:v>fast_mode_logs</x:v>
      </x:c>
      <x:c r="R300" s="1" t="n">
        <x:v>46</x:v>
      </x:c>
      <x:c r="S300" s="1" t="str">
        <x:v>Successful entry</x:v>
      </x:c>
      <x:c r="T300" s="1" t="n">
        <x:v>1</x:v>
      </x:c>
      <x:c r="U300" s="5" t="str"/>
      <x:c r="V300" s="1" t="n">
        <x:v>1</x:v>
      </x:c>
      <x:c r="W300" s="1" t="n">
        <x:v>0</x:v>
      </x:c>
      <x:c r="X300" s="1" t="str">
        <x:v>GRANTED</x:v>
      </x:c>
      <x:c r="Y300" s="1" t="n">
        <x:f>IF(V300=1,IF(E300="GRANTED",IF(X300="GRANTED",1,0),IF(X300="DENIED",1,0)),0)</x:f>
        <x:v>1</x:v>
      </x:c>
    </x:row>
    <x:row r="301" ht="23" customHeight="1">
      <x:c r="A301" s="9" t="n">
        <x:v>46247.44093329861</x:v>
      </x:c>
      <x:c r="B301" s="1" t="str">
        <x:v>Maria Santos</x:v>
      </x:c>
      <x:c r="C301" s="1" t="str">
        <x:v>Entry</x:v>
      </x:c>
      <x:c r="D301" s="1" t="str">
        <x:v>Fast</x:v>
      </x:c>
      <x:c r="E301" s="1" t="str">
        <x:v>GRANTED</x:v>
      </x:c>
      <x:c r="F301" s="11" t="n">
        <x:v>11.594</x:v>
      </x:c>
      <x:c r="G301" s="11" t="str">
        <x:v>N/A (Bypassed)</x:v>
      </x:c>
      <x:c r="H301" s="11" t="str">
        <x:v>N/A (Bypassed)</x:v>
      </x:c>
      <x:c r="I301" s="11" t="str">
        <x:v>N/A (Bypassed)</x:v>
      </x:c>
      <x:c r="J301" s="11" t="str">
        <x:v>N/A (Bypassed)</x:v>
      </x:c>
      <x:c r="K301" s="11" t="str">
        <x:v>N/A</x:v>
      </x:c>
      <x:c r="L301" s="11" t="n">
        <x:v>11.594</x:v>
      </x:c>
      <x:c r="M301" s="11" t="n">
        <x:v>2.6174</x:v>
      </x:c>
      <x:c r="N301" s="1" t="str">
        <x:v>6898be28591c4e1abe73f83f56b307e4</x:v>
      </x:c>
      <x:c r="O301" s="1" t="str">
        <x:v>Admin Office - 1</x:v>
      </x:c>
      <x:c r="P301" s="1" t="n">
        <x:v>2</x:v>
      </x:c>
      <x:c r="Q301" s="1" t="str">
        <x:v>fast_mode_logs</x:v>
      </x:c>
      <x:c r="R301" s="1" t="n">
        <x:v>47</x:v>
      </x:c>
      <x:c r="S301" s="1" t="str">
        <x:v>Successful entry</x:v>
      </x:c>
      <x:c r="T301" s="1" t="n">
        <x:v>1</x:v>
      </x:c>
      <x:c r="U301" s="5" t="str"/>
      <x:c r="V301" s="1" t="n">
        <x:v>1</x:v>
      </x:c>
      <x:c r="W301" s="1" t="n">
        <x:v>0</x:v>
      </x:c>
      <x:c r="X301" s="1" t="str">
        <x:v>GRANTED</x:v>
      </x:c>
      <x:c r="Y301" s="1" t="n">
        <x:f>IF(V301=1,IF(E301="GRANTED",IF(X301="GRANTED",1,0),IF(X301="DENIED",1,0)),0)</x:f>
        <x:v>1</x:v>
      </x:c>
    </x:row>
    <x:row r="302" ht="23" customHeight="1">
      <x:c r="A302" s="9" t="n">
        <x:v>46247.44090475695</x:v>
      </x:c>
      <x:c r="B302" s="1" t="str">
        <x:v>Maria Clara</x:v>
      </x:c>
      <x:c r="C302" s="1" t="str">
        <x:v>Entry</x:v>
      </x:c>
      <x:c r="D302" s="1" t="str">
        <x:v>Fast</x:v>
      </x:c>
      <x:c r="E302" s="1" t="str">
        <x:v>GRANTED</x:v>
      </x:c>
      <x:c r="F302" s="11" t="n">
        <x:v>12.9388</x:v>
      </x:c>
      <x:c r="G302" s="11" t="str">
        <x:v>N/A (Bypassed)</x:v>
      </x:c>
      <x:c r="H302" s="11" t="str">
        <x:v>N/A (Bypassed)</x:v>
      </x:c>
      <x:c r="I302" s="11" t="str">
        <x:v>N/A (Bypassed)</x:v>
      </x:c>
      <x:c r="J302" s="11" t="str">
        <x:v>N/A (Bypassed)</x:v>
      </x:c>
      <x:c r="K302" s="11" t="str">
        <x:v>N/A</x:v>
      </x:c>
      <x:c r="L302" s="11" t="n">
        <x:v>12.9388</x:v>
      </x:c>
      <x:c r="M302" s="11" t="n">
        <x:v>2.6507</x:v>
      </x:c>
      <x:c r="N302" s="1" t="str">
        <x:v>6898be28591c4e1abe73f83f56b307e4</x:v>
      </x:c>
      <x:c r="O302" s="1" t="str">
        <x:v>Admin Office - 1</x:v>
      </x:c>
      <x:c r="P302" s="1" t="n">
        <x:v>2</x:v>
      </x:c>
      <x:c r="Q302" s="1" t="str">
        <x:v>fast_mode_logs</x:v>
      </x:c>
      <x:c r="R302" s="1" t="n">
        <x:v>48</x:v>
      </x:c>
      <x:c r="S302" s="1" t="str">
        <x:v>Successful entry</x:v>
      </x:c>
      <x:c r="T302" s="1" t="n">
        <x:v>1</x:v>
      </x:c>
      <x:c r="U302" s="5" t="str"/>
      <x:c r="V302" s="1" t="n">
        <x:v>1</x:v>
      </x:c>
      <x:c r="W302" s="1" t="n">
        <x:v>0</x:v>
      </x:c>
      <x:c r="X302" s="1" t="str">
        <x:v>GRANTED</x:v>
      </x:c>
      <x:c r="Y302" s="1" t="n">
        <x:f>IF(V302=1,IF(E302="GRANTED",IF(X302="GRANTED",1,0),IF(X302="DENIED",1,0)),0)</x:f>
        <x:v>1</x:v>
      </x:c>
    </x:row>
    <x:row r="303" ht="23" customHeight="1">
      <x:c r="A303" s="9" t="n">
        <x:v>46247.44088241898</x:v>
      </x:c>
      <x:c r="B303" s="1" t="str">
        <x:v>Juana Dela Cruz</x:v>
      </x:c>
      <x:c r="C303" s="1" t="str">
        <x:v>Entry</x:v>
      </x:c>
      <x:c r="D303" s="1" t="str">
        <x:v>Fast</x:v>
      </x:c>
      <x:c r="E303" s="1" t="str">
        <x:v>GRANTED</x:v>
      </x:c>
      <x:c r="F303" s="11" t="n">
        <x:v>9.5205</x:v>
      </x:c>
      <x:c r="G303" s="11" t="str">
        <x:v>N/A (Bypassed)</x:v>
      </x:c>
      <x:c r="H303" s="11" t="str">
        <x:v>N/A (Bypassed)</x:v>
      </x:c>
      <x:c r="I303" s="11" t="str">
        <x:v>N/A (Bypassed)</x:v>
      </x:c>
      <x:c r="J303" s="11" t="str">
        <x:v>N/A (Bypassed)</x:v>
      </x:c>
      <x:c r="K303" s="11" t="str">
        <x:v>N/A</x:v>
      </x:c>
      <x:c r="L303" s="11" t="n">
        <x:v>9.5205</x:v>
      </x:c>
      <x:c r="M303" s="11" t="n">
        <x:v>2.5915</x:v>
      </x:c>
      <x:c r="N303" s="1" t="str">
        <x:v>6898be28591c4e1abe73f83f56b307e4</x:v>
      </x:c>
      <x:c r="O303" s="1" t="str">
        <x:v>Admin Office - 1</x:v>
      </x:c>
      <x:c r="P303" s="1" t="n">
        <x:v>2</x:v>
      </x:c>
      <x:c r="Q303" s="1" t="str">
        <x:v>fast_mode_logs</x:v>
      </x:c>
      <x:c r="R303" s="1" t="n">
        <x:v>49</x:v>
      </x:c>
      <x:c r="S303" s="1" t="str">
        <x:v>Successful entry</x:v>
      </x:c>
      <x:c r="T303" s="1" t="n">
        <x:v>1</x:v>
      </x:c>
      <x:c r="U303" s="5" t="str"/>
      <x:c r="V303" s="1" t="n">
        <x:v>1</x:v>
      </x:c>
      <x:c r="W303" s="1" t="n">
        <x:v>0</x:v>
      </x:c>
      <x:c r="X303" s="1" t="str">
        <x:v>GRANTED</x:v>
      </x:c>
      <x:c r="Y303" s="1" t="n">
        <x:f>IF(V303=1,IF(E303="GRANTED",IF(X303="GRANTED",1,0),IF(X303="DENIED",1,0)),0)</x:f>
        <x:v>1</x:v>
      </x:c>
    </x:row>
    <x:row r="304" ht="23" customHeight="1">
      <x:c r="A304" s="9" t="n">
        <x:v>46247.44086099537</x:v>
      </x:c>
      <x:c r="B304" s="1" t="str">
        <x:v>Maria Dela Cruz</x:v>
      </x:c>
      <x:c r="C304" s="1" t="str">
        <x:v>Entry</x:v>
      </x:c>
      <x:c r="D304" s="1" t="str">
        <x:v>Fast</x:v>
      </x:c>
      <x:c r="E304" s="1" t="str">
        <x:v>GRANTED</x:v>
      </x:c>
      <x:c r="F304" s="11" t="n">
        <x:v>11.2613</x:v>
      </x:c>
      <x:c r="G304" s="11" t="str">
        <x:v>N/A (Bypassed)</x:v>
      </x:c>
      <x:c r="H304" s="11" t="str">
        <x:v>N/A (Bypassed)</x:v>
      </x:c>
      <x:c r="I304" s="11" t="str">
        <x:v>N/A (Bypassed)</x:v>
      </x:c>
      <x:c r="J304" s="11" t="str">
        <x:v>N/A (Bypassed)</x:v>
      </x:c>
      <x:c r="K304" s="11" t="str">
        <x:v>N/A</x:v>
      </x:c>
      <x:c r="L304" s="11" t="n">
        <x:v>11.2613</x:v>
      </x:c>
      <x:c r="M304" s="11" t="n">
        <x:v>2.4605</x:v>
      </x:c>
      <x:c r="N304" s="1" t="str">
        <x:v>6898be28591c4e1abe73f83f56b307e4</x:v>
      </x:c>
      <x:c r="O304" s="1" t="str">
        <x:v>Admin Office - 1</x:v>
      </x:c>
      <x:c r="P304" s="1" t="n">
        <x:v>2</x:v>
      </x:c>
      <x:c r="Q304" s="1" t="str">
        <x:v>fast_mode_logs</x:v>
      </x:c>
      <x:c r="R304" s="1" t="n">
        <x:v>50</x:v>
      </x:c>
      <x:c r="S304" s="1" t="str">
        <x:v>Successful entry</x:v>
      </x:c>
      <x:c r="T304" s="1" t="n">
        <x:v>1</x:v>
      </x:c>
      <x:c r="U304" s="5" t="str"/>
      <x:c r="V304" s="1" t="n">
        <x:v>1</x:v>
      </x:c>
      <x:c r="W304" s="1" t="n">
        <x:v>0</x:v>
      </x:c>
      <x:c r="X304" s="1" t="str">
        <x:v>GRANTED</x:v>
      </x:c>
      <x:c r="Y304" s="1" t="n">
        <x:f>IF(V304=1,IF(E304="GRANTED",IF(X304="GRANTED",1,0),IF(X304="DENIED",1,0)),0)</x:f>
        <x:v>1</x:v>
      </x:c>
    </x:row>
    <x:row r="305" ht="23" customHeight="1">
      <x:c r="A305" s="9" t="n">
        <x:v>46247.44083665509</x:v>
      </x:c>
      <x:c r="B305" s="1" t="str">
        <x:v>Basilio Magbanua</x:v>
      </x:c>
      <x:c r="C305" s="1" t="str">
        <x:v>Entry</x:v>
      </x:c>
      <x:c r="D305" s="1" t="str">
        <x:v>Fast</x:v>
      </x:c>
      <x:c r="E305" s="1" t="str">
        <x:v>GRANTED</x:v>
      </x:c>
      <x:c r="F305" s="11" t="n">
        <x:v>10.5442</x:v>
      </x:c>
      <x:c r="G305" s="11" t="str">
        <x:v>N/A (Bypassed)</x:v>
      </x:c>
      <x:c r="H305" s="11" t="str">
        <x:v>N/A (Bypassed)</x:v>
      </x:c>
      <x:c r="I305" s="11" t="str">
        <x:v>N/A (Bypassed)</x:v>
      </x:c>
      <x:c r="J305" s="11" t="str">
        <x:v>N/A (Bypassed)</x:v>
      </x:c>
      <x:c r="K305" s="11" t="str">
        <x:v>N/A</x:v>
      </x:c>
      <x:c r="L305" s="11" t="n">
        <x:v>10.5442</x:v>
      </x:c>
      <x:c r="M305" s="11" t="n">
        <x:v>2.3857</x:v>
      </x:c>
      <x:c r="N305" s="1" t="str">
        <x:v>6898be28591c4e1abe73f83f56b307e4</x:v>
      </x:c>
      <x:c r="O305" s="1" t="str">
        <x:v>Admin Office - 1</x:v>
      </x:c>
      <x:c r="P305" s="1" t="n">
        <x:v>2</x:v>
      </x:c>
      <x:c r="Q305" s="1" t="str">
        <x:v>fast_mode_logs</x:v>
      </x:c>
      <x:c r="R305" s="1" t="n">
        <x:v>51</x:v>
      </x:c>
      <x:c r="S305" s="1" t="str">
        <x:v>Successful entry</x:v>
      </x:c>
      <x:c r="T305" s="1" t="n">
        <x:v>1</x:v>
      </x:c>
      <x:c r="U305" s="5" t="str"/>
      <x:c r="V305" s="1" t="n">
        <x:v>1</x:v>
      </x:c>
      <x:c r="W305" s="1" t="n">
        <x:v>0</x:v>
      </x:c>
      <x:c r="X305" s="1" t="str">
        <x:v>GRANTED</x:v>
      </x:c>
      <x:c r="Y305" s="1" t="n">
        <x:f>IF(V305=1,IF(E305="GRANTED",IF(X305="GRANTED",1,0),IF(X305="DENIED",1,0)),0)</x:f>
        <x:v>1</x:v>
      </x:c>
    </x:row>
    <x:row r="306" ht="23" customHeight="1">
      <x:c r="A306" s="12" t="n">
        <x:v>46247.44080364583</x:v>
      </x:c>
      <x:c r="B306" s="13" t="str">
        <x:v>Bayani Dela Rosa</x:v>
      </x:c>
      <x:c r="C306" s="13" t="str">
        <x:v>Entry</x:v>
      </x:c>
      <x:c r="D306" s="13" t="str">
        <x:v>Fast</x:v>
      </x:c>
      <x:c r="E306" s="13" t="str">
        <x:v>DENIED [ANTI_TAILGATING_VIOLATION]</x:v>
      </x:c>
      <x:c r="F306" s="14" t="n">
        <x:v>0.9703</x:v>
      </x:c>
      <x:c r="G306" s="14" t="str">
        <x:v>N/A (Bypassed)</x:v>
      </x:c>
      <x:c r="H306" s="14" t="str">
        <x:v>N/A (Bypassed)</x:v>
      </x:c>
      <x:c r="I306" s="14" t="str">
        <x:v>N/A (Bypassed)</x:v>
      </x:c>
      <x:c r="J306" s="14" t="str">
        <x:v>N/A (Bypassed)</x:v>
      </x:c>
      <x:c r="K306" s="14" t="str">
        <x:v>N/A</x:v>
      </x:c>
      <x:c r="L306" s="14" t="n">
        <x:v>0.9703</x:v>
      </x:c>
      <x:c r="M306" s="14" t="n">
        <x:v>0.5754</x:v>
      </x:c>
      <x:c r="N306" s="13" t="str">
        <x:v>6898be28591c4e1abe73f83f56b307e4</x:v>
      </x:c>
      <x:c r="O306" s="13" t="str">
        <x:v>Admin Office - 1</x:v>
      </x:c>
      <x:c r="P306" s="13" t="n">
        <x:v>2</x:v>
      </x:c>
      <x:c r="Q306" s="13" t="str">
        <x:v>fast_mode_logs</x:v>
      </x:c>
      <x:c r="R306" s="13" t="n">
        <x:v>52</x:v>
      </x:c>
      <x:c r="S306" s="13" t="str">
        <x:v>Denied record</x:v>
      </x:c>
      <x:c r="T306" s="13"/>
      <x:c r="U306" s="15" t="str"/>
      <x:c r="V306" s="1" t="n">
        <x:v>0</x:v>
      </x:c>
      <x:c r="W306" s="1" t="n">
        <x:v>0</x:v>
      </x:c>
      <x:c r="X306" s="1" t="str">
        <x:v>Not applicable</x:v>
      </x:c>
      <x:c r="Y306" s="1" t="n">
        <x:f>IF(V306=1,IF(E306="GRANTED",IF(X306="GRANTED",1,0),IF(X306="DENIED",1,0)),0)</x:f>
        <x:v>0</x:v>
      </x:c>
    </x:row>
    <x:row r="307" ht="23" customHeight="1">
      <x:c r="A307" s="12" t="n">
        <x:v>46247.4407513426</x:v>
      </x:c>
      <x:c r="B307" s="13" t="str">
        <x:v>Bayani Dela Rosa</x:v>
      </x:c>
      <x:c r="C307" s="13" t="str">
        <x:v>Entry</x:v>
      </x:c>
      <x:c r="D307" s="13" t="str">
        <x:v>Fast</x:v>
      </x:c>
      <x:c r="E307" s="13" t="str">
        <x:v>DENIED [ANTI_TAILGATING_VIOLATION]</x:v>
      </x:c>
      <x:c r="F307" s="14" t="n">
        <x:v>1.0687</x:v>
      </x:c>
      <x:c r="G307" s="14" t="str">
        <x:v>N/A (Bypassed)</x:v>
      </x:c>
      <x:c r="H307" s="14" t="str">
        <x:v>N/A (Bypassed)</x:v>
      </x:c>
      <x:c r="I307" s="14" t="str">
        <x:v>N/A (Bypassed)</x:v>
      </x:c>
      <x:c r="J307" s="14" t="str">
        <x:v>N/A (Bypassed)</x:v>
      </x:c>
      <x:c r="K307" s="14" t="str">
        <x:v>N/A</x:v>
      </x:c>
      <x:c r="L307" s="14" t="n">
        <x:v>1.0687</x:v>
      </x:c>
      <x:c r="M307" s="14" t="n">
        <x:v>0.6076</x:v>
      </x:c>
      <x:c r="N307" s="13" t="str">
        <x:v>6898be28591c4e1abe73f83f56b307e4</x:v>
      </x:c>
      <x:c r="O307" s="13" t="str">
        <x:v>Admin Office - 1</x:v>
      </x:c>
      <x:c r="P307" s="13" t="n">
        <x:v>2</x:v>
      </x:c>
      <x:c r="Q307" s="13" t="str">
        <x:v>fast_mode_logs</x:v>
      </x:c>
      <x:c r="R307" s="13" t="n">
        <x:v>53</x:v>
      </x:c>
      <x:c r="S307" s="13" t="str">
        <x:v>Denied record</x:v>
      </x:c>
      <x:c r="T307" s="13"/>
      <x:c r="U307" s="15" t="str"/>
      <x:c r="V307" s="1" t="n">
        <x:v>0</x:v>
      </x:c>
      <x:c r="W307" s="1" t="n">
        <x:v>0</x:v>
      </x:c>
      <x:c r="X307" s="1" t="str">
        <x:v>Not applicable</x:v>
      </x:c>
      <x:c r="Y307" s="1" t="n">
        <x:f>IF(V307=1,IF(E307="GRANTED",IF(X307="GRANTED",1,0),IF(X307="DENIED",1,0)),0)</x:f>
        <x:v>0</x:v>
      </x:c>
    </x:row>
    <x:row r="308" ht="23" customHeight="1">
      <x:c r="A308" s="9" t="n">
        <x:v>46247.44070678241</x:v>
      </x:c>
      <x:c r="B308" s="1" t="str">
        <x:v>Bayani Dela Rosa</x:v>
      </x:c>
      <x:c r="C308" s="1" t="str">
        <x:v>Entry</x:v>
      </x:c>
      <x:c r="D308" s="1" t="str">
        <x:v>Fast</x:v>
      </x:c>
      <x:c r="E308" s="1" t="str">
        <x:v>GRANTED</x:v>
      </x:c>
      <x:c r="F308" s="11" t="n">
        <x:v>11.0407</x:v>
      </x:c>
      <x:c r="G308" s="11" t="str">
        <x:v>N/A (Bypassed)</x:v>
      </x:c>
      <x:c r="H308" s="11" t="str">
        <x:v>N/A (Bypassed)</x:v>
      </x:c>
      <x:c r="I308" s="11" t="str">
        <x:v>N/A (Bypassed)</x:v>
      </x:c>
      <x:c r="J308" s="11" t="str">
        <x:v>N/A (Bypassed)</x:v>
      </x:c>
      <x:c r="K308" s="11" t="str">
        <x:v>N/A</x:v>
      </x:c>
      <x:c r="L308" s="11" t="n">
        <x:v>11.0407</x:v>
      </x:c>
      <x:c r="M308" s="11" t="n">
        <x:v>2.7668</x:v>
      </x:c>
      <x:c r="N308" s="1" t="str">
        <x:v>6898be28591c4e1abe73f83f56b307e4</x:v>
      </x:c>
      <x:c r="O308" s="1" t="str">
        <x:v>Admin Office - 1</x:v>
      </x:c>
      <x:c r="P308" s="1" t="n">
        <x:v>2</x:v>
      </x:c>
      <x:c r="Q308" s="1" t="str">
        <x:v>fast_mode_logs</x:v>
      </x:c>
      <x:c r="R308" s="1" t="n">
        <x:v>54</x:v>
      </x:c>
      <x:c r="S308" s="1" t="str">
        <x:v>Successful entry</x:v>
      </x:c>
      <x:c r="T308" s="1" t="n">
        <x:v>1</x:v>
      </x:c>
      <x:c r="U308" s="5" t="str"/>
      <x:c r="V308" s="1" t="n">
        <x:v>1</x:v>
      </x:c>
      <x:c r="W308" s="1" t="n">
        <x:v>0</x:v>
      </x:c>
      <x:c r="X308" s="1" t="str">
        <x:v>GRANTED</x:v>
      </x:c>
      <x:c r="Y308" s="1" t="n">
        <x:f>IF(V308=1,IF(E308="GRANTED",IF(X308="GRANTED",1,0),IF(X308="DENIED",1,0)),0)</x:f>
        <x:v>1</x:v>
      </x:c>
    </x:row>
    <x:row r="309" ht="23" customHeight="1">
      <x:c r="A309" s="9" t="n">
        <x:v>46247.440684988425</x:v>
      </x:c>
      <x:c r="B309" s="1" t="str">
        <x:v>Jose Mari Bautista</x:v>
      </x:c>
      <x:c r="C309" s="1" t="str">
        <x:v>Entry</x:v>
      </x:c>
      <x:c r="D309" s="1" t="str">
        <x:v>Fast</x:v>
      </x:c>
      <x:c r="E309" s="1" t="str">
        <x:v>GRANTED</x:v>
      </x:c>
      <x:c r="F309" s="11" t="n">
        <x:v>10.3279</x:v>
      </x:c>
      <x:c r="G309" s="11" t="str">
        <x:v>N/A (Bypassed)</x:v>
      </x:c>
      <x:c r="H309" s="11" t="str">
        <x:v>N/A (Bypassed)</x:v>
      </x:c>
      <x:c r="I309" s="11" t="str">
        <x:v>N/A (Bypassed)</x:v>
      </x:c>
      <x:c r="J309" s="11" t="str">
        <x:v>N/A (Bypassed)</x:v>
      </x:c>
      <x:c r="K309" s="11" t="str">
        <x:v>N/A</x:v>
      </x:c>
      <x:c r="L309" s="11" t="n">
        <x:v>10.3279</x:v>
      </x:c>
      <x:c r="M309" s="11" t="n">
        <x:v>2.6746</x:v>
      </x:c>
      <x:c r="N309" s="1" t="str">
        <x:v>6898be28591c4e1abe73f83f56b307e4</x:v>
      </x:c>
      <x:c r="O309" s="1" t="str">
        <x:v>Admin Office - 1</x:v>
      </x:c>
      <x:c r="P309" s="1" t="n">
        <x:v>2</x:v>
      </x:c>
      <x:c r="Q309" s="1" t="str">
        <x:v>fast_mode_logs</x:v>
      </x:c>
      <x:c r="R309" s="1" t="n">
        <x:v>55</x:v>
      </x:c>
      <x:c r="S309" s="1" t="str">
        <x:v>Successful entry</x:v>
      </x:c>
      <x:c r="T309" s="1" t="n">
        <x:v>1</x:v>
      </x:c>
      <x:c r="U309" s="5" t="str"/>
      <x:c r="V309" s="1" t="n">
        <x:v>1</x:v>
      </x:c>
      <x:c r="W309" s="1" t="n">
        <x:v>0</x:v>
      </x:c>
      <x:c r="X309" s="1" t="str">
        <x:v>GRANTED</x:v>
      </x:c>
      <x:c r="Y309" s="1" t="n">
        <x:f>IF(V309=1,IF(E309="GRANTED",IF(X309="GRANTED",1,0),IF(X309="DENIED",1,0)),0)</x:f>
        <x:v>1</x:v>
      </x:c>
    </x:row>
    <x:row r="310" ht="23" customHeight="1">
      <x:c r="A310" s="9" t="n">
        <x:v>46247.44066334491</x:v>
      </x:c>
      <x:c r="B310" s="1" t="str">
        <x:v>Angelito Fernandez</x:v>
      </x:c>
      <x:c r="C310" s="1" t="str">
        <x:v>Entry</x:v>
      </x:c>
      <x:c r="D310" s="1" t="str">
        <x:v>Fast</x:v>
      </x:c>
      <x:c r="E310" s="1" t="str">
        <x:v>GRANTED</x:v>
      </x:c>
      <x:c r="F310" s="11" t="n">
        <x:v>12.4927</x:v>
      </x:c>
      <x:c r="G310" s="11" t="str">
        <x:v>N/A (Bypassed)</x:v>
      </x:c>
      <x:c r="H310" s="11" t="str">
        <x:v>N/A (Bypassed)</x:v>
      </x:c>
      <x:c r="I310" s="11" t="str">
        <x:v>N/A (Bypassed)</x:v>
      </x:c>
      <x:c r="J310" s="11" t="str">
        <x:v>N/A (Bypassed)</x:v>
      </x:c>
      <x:c r="K310" s="11" t="str">
        <x:v>N/A</x:v>
      </x:c>
      <x:c r="L310" s="11" t="n">
        <x:v>12.4927</x:v>
      </x:c>
      <x:c r="M310" s="11" t="n">
        <x:v>3.0404</x:v>
      </x:c>
      <x:c r="N310" s="1" t="str">
        <x:v>6898be28591c4e1abe73f83f56b307e4</x:v>
      </x:c>
      <x:c r="O310" s="1" t="str">
        <x:v>Admin Office - 1</x:v>
      </x:c>
      <x:c r="P310" s="1" t="n">
        <x:v>2</x:v>
      </x:c>
      <x:c r="Q310" s="1" t="str">
        <x:v>fast_mode_logs</x:v>
      </x:c>
      <x:c r="R310" s="1" t="n">
        <x:v>56</x:v>
      </x:c>
      <x:c r="S310" s="1" t="str">
        <x:v>Successful entry</x:v>
      </x:c>
      <x:c r="T310" s="1" t="n">
        <x:v>1</x:v>
      </x:c>
      <x:c r="U310" s="5" t="str"/>
      <x:c r="V310" s="1" t="n">
        <x:v>1</x:v>
      </x:c>
      <x:c r="W310" s="1" t="n">
        <x:v>0</x:v>
      </x:c>
      <x:c r="X310" s="1" t="str">
        <x:v>GRANTED</x:v>
      </x:c>
      <x:c r="Y310" s="1" t="n">
        <x:f>IF(V310=1,IF(E310="GRANTED",IF(X310="GRANTED",1,0),IF(X310="DENIED",1,0)),0)</x:f>
        <x:v>1</x:v>
      </x:c>
    </x:row>
    <x:row r="311" ht="23" customHeight="1">
      <x:c r="A311" s="9" t="n">
        <x:v>46247.44064260417</x:v>
      </x:c>
      <x:c r="B311" s="1" t="str">
        <x:v>Roberto Ramos</x:v>
      </x:c>
      <x:c r="C311" s="1" t="str">
        <x:v>Entry</x:v>
      </x:c>
      <x:c r="D311" s="1" t="str">
        <x:v>Fast</x:v>
      </x:c>
      <x:c r="E311" s="1" t="str">
        <x:v>GRANTED</x:v>
      </x:c>
      <x:c r="F311" s="11" t="n">
        <x:v>16.8272</x:v>
      </x:c>
      <x:c r="G311" s="11" t="str">
        <x:v>N/A (Bypassed)</x:v>
      </x:c>
      <x:c r="H311" s="11" t="str">
        <x:v>N/A (Bypassed)</x:v>
      </x:c>
      <x:c r="I311" s="11" t="str">
        <x:v>N/A (Bypassed)</x:v>
      </x:c>
      <x:c r="J311" s="11" t="str">
        <x:v>N/A (Bypassed)</x:v>
      </x:c>
      <x:c r="K311" s="11" t="str">
        <x:v>N/A</x:v>
      </x:c>
      <x:c r="L311" s="11" t="n">
        <x:v>16.8272</x:v>
      </x:c>
      <x:c r="M311" s="11" t="n">
        <x:v>2.7122</x:v>
      </x:c>
      <x:c r="N311" s="1" t="str">
        <x:v>6898be28591c4e1abe73f83f56b307e4</x:v>
      </x:c>
      <x:c r="O311" s="1" t="str">
        <x:v>Admin Office - 1</x:v>
      </x:c>
      <x:c r="P311" s="1" t="n">
        <x:v>2</x:v>
      </x:c>
      <x:c r="Q311" s="1" t="str">
        <x:v>fast_mode_logs</x:v>
      </x:c>
      <x:c r="R311" s="1" t="n">
        <x:v>57</x:v>
      </x:c>
      <x:c r="S311" s="1" t="str">
        <x:v>Successful entry</x:v>
      </x:c>
      <x:c r="T311" s="1" t="n">
        <x:v>1</x:v>
      </x:c>
      <x:c r="U311" s="5" t="str"/>
      <x:c r="V311" s="1" t="n">
        <x:v>1</x:v>
      </x:c>
      <x:c r="W311" s="1" t="n">
        <x:v>0</x:v>
      </x:c>
      <x:c r="X311" s="1" t="str">
        <x:v>GRANTED</x:v>
      </x:c>
      <x:c r="Y311" s="1" t="n">
        <x:f>IF(V311=1,IF(E311="GRANTED",IF(X311="GRANTED",1,0),IF(X311="DENIED",1,0)),0)</x:f>
        <x:v>1</x:v>
      </x:c>
    </x:row>
    <x:row r="312" ht="23" customHeight="1">
      <x:c r="A312" s="9" t="n">
        <x:v>46247.440620127316</x:v>
      </x:c>
      <x:c r="B312" s="1" t="str">
        <x:v>Juanito Delos Santos</x:v>
      </x:c>
      <x:c r="C312" s="1" t="str">
        <x:v>Entry</x:v>
      </x:c>
      <x:c r="D312" s="1" t="str">
        <x:v>Fast</x:v>
      </x:c>
      <x:c r="E312" s="1" t="str">
        <x:v>GRANTED</x:v>
      </x:c>
      <x:c r="F312" s="11" t="n">
        <x:v>10.4385</x:v>
      </x:c>
      <x:c r="G312" s="11" t="str">
        <x:v>N/A (Bypassed)</x:v>
      </x:c>
      <x:c r="H312" s="11" t="str">
        <x:v>N/A (Bypassed)</x:v>
      </x:c>
      <x:c r="I312" s="11" t="str">
        <x:v>N/A (Bypassed)</x:v>
      </x:c>
      <x:c r="J312" s="11" t="str">
        <x:v>N/A (Bypassed)</x:v>
      </x:c>
      <x:c r="K312" s="11" t="str">
        <x:v>N/A</x:v>
      </x:c>
      <x:c r="L312" s="11" t="n">
        <x:v>10.4385</x:v>
      </x:c>
      <x:c r="M312" s="11" t="n">
        <x:v>2.8092</x:v>
      </x:c>
      <x:c r="N312" s="1" t="str">
        <x:v>6898be28591c4e1abe73f83f56b307e4</x:v>
      </x:c>
      <x:c r="O312" s="1" t="str">
        <x:v>Admin Office - 1</x:v>
      </x:c>
      <x:c r="P312" s="1" t="n">
        <x:v>2</x:v>
      </x:c>
      <x:c r="Q312" s="1" t="str">
        <x:v>fast_mode_logs</x:v>
      </x:c>
      <x:c r="R312" s="1" t="n">
        <x:v>58</x:v>
      </x:c>
      <x:c r="S312" s="1" t="str">
        <x:v>Successful entry</x:v>
      </x:c>
      <x:c r="T312" s="1" t="n">
        <x:v>1</x:v>
      </x:c>
      <x:c r="U312" s="5" t="str"/>
      <x:c r="V312" s="1" t="n">
        <x:v>1</x:v>
      </x:c>
      <x:c r="W312" s="1" t="n">
        <x:v>0</x:v>
      </x:c>
      <x:c r="X312" s="1" t="str">
        <x:v>GRANTED</x:v>
      </x:c>
      <x:c r="Y312" s="1" t="n">
        <x:f>IF(V312=1,IF(E312="GRANTED",IF(X312="GRANTED",1,0),IF(X312="DENIED",1,0)),0)</x:f>
        <x:v>1</x:v>
      </x:c>
    </x:row>
    <x:row r="313" ht="23" customHeight="1">
      <x:c r="A313" s="9" t="n">
        <x:v>46247.44059488426</x:v>
      </x:c>
      <x:c r="B313" s="1" t="str">
        <x:v>[TEMP] Manuel Mendoza</x:v>
      </x:c>
      <x:c r="C313" s="1" t="str">
        <x:v>Entry</x:v>
      </x:c>
      <x:c r="D313" s="1" t="str">
        <x:v>Fast</x:v>
      </x:c>
      <x:c r="E313" s="1" t="str">
        <x:v>GRANTED</x:v>
      </x:c>
      <x:c r="F313" s="11" t="n">
        <x:v>11.3357</x:v>
      </x:c>
      <x:c r="G313" s="11" t="str">
        <x:v>N/A (Bypassed)</x:v>
      </x:c>
      <x:c r="H313" s="11" t="str">
        <x:v>N/A (Bypassed)</x:v>
      </x:c>
      <x:c r="I313" s="11" t="str">
        <x:v>N/A (Bypassed)</x:v>
      </x:c>
      <x:c r="J313" s="11" t="str">
        <x:v>N/A (Bypassed)</x:v>
      </x:c>
      <x:c r="K313" s="11" t="str">
        <x:v>N/A</x:v>
      </x:c>
      <x:c r="L313" s="11" t="n">
        <x:v>11.3357</x:v>
      </x:c>
      <x:c r="M313" s="11" t="n">
        <x:v>2.6247</x:v>
      </x:c>
      <x:c r="N313" s="1" t="str">
        <x:v>6898be28591c4e1abe73f83f56b307e4</x:v>
      </x:c>
      <x:c r="O313" s="1" t="str">
        <x:v>Admin Office - 1</x:v>
      </x:c>
      <x:c r="P313" s="1" t="n">
        <x:v>2</x:v>
      </x:c>
      <x:c r="Q313" s="1" t="str">
        <x:v>fast_mode_logs</x:v>
      </x:c>
      <x:c r="R313" s="1" t="n">
        <x:v>59</x:v>
      </x:c>
      <x:c r="S313" s="1" t="str">
        <x:v>Successful entry</x:v>
      </x:c>
      <x:c r="T313" s="1" t="n">
        <x:v>1</x:v>
      </x:c>
      <x:c r="U313" s="5" t="str"/>
      <x:c r="V313" s="1" t="n">
        <x:v>1</x:v>
      </x:c>
      <x:c r="W313" s="1" t="n">
        <x:v>0</x:v>
      </x:c>
      <x:c r="X313" s="1" t="str">
        <x:v>GRANTED</x:v>
      </x:c>
      <x:c r="Y313" s="1" t="n">
        <x:f>IF(V313=1,IF(E313="GRANTED",IF(X313="GRANTED",1,0),IF(X313="DENIED",1,0)),0)</x:f>
        <x:v>1</x:v>
      </x:c>
    </x:row>
    <x:row r="314" ht="23" customHeight="1">
      <x:c r="A314" s="9" t="n">
        <x:v>46247.440564537035</x:v>
      </x:c>
      <x:c r="B314" s="1" t="str">
        <x:v>Francisco Garcia</x:v>
      </x:c>
      <x:c r="C314" s="1" t="str">
        <x:v>Entry</x:v>
      </x:c>
      <x:c r="D314" s="1" t="str">
        <x:v>Fast</x:v>
      </x:c>
      <x:c r="E314" s="1" t="str">
        <x:v>GRANTED</x:v>
      </x:c>
      <x:c r="F314" s="11" t="n">
        <x:v>9.9998</x:v>
      </x:c>
      <x:c r="G314" s="11" t="str">
        <x:v>N/A (Bypassed)</x:v>
      </x:c>
      <x:c r="H314" s="11" t="str">
        <x:v>N/A (Bypassed)</x:v>
      </x:c>
      <x:c r="I314" s="11" t="str">
        <x:v>N/A (Bypassed)</x:v>
      </x:c>
      <x:c r="J314" s="11" t="str">
        <x:v>N/A (Bypassed)</x:v>
      </x:c>
      <x:c r="K314" s="11" t="str">
        <x:v>N/A</x:v>
      </x:c>
      <x:c r="L314" s="11" t="n">
        <x:v>9.9998</x:v>
      </x:c>
      <x:c r="M314" s="11" t="n">
        <x:v>2.4694</x:v>
      </x:c>
      <x:c r="N314" s="1" t="str">
        <x:v>6898be28591c4e1abe73f83f56b307e4</x:v>
      </x:c>
      <x:c r="O314" s="1" t="str">
        <x:v>Admin Office - 1</x:v>
      </x:c>
      <x:c r="P314" s="1" t="n">
        <x:v>2</x:v>
      </x:c>
      <x:c r="Q314" s="1" t="str">
        <x:v>fast_mode_logs</x:v>
      </x:c>
      <x:c r="R314" s="1" t="n">
        <x:v>60</x:v>
      </x:c>
      <x:c r="S314" s="1" t="str">
        <x:v>Successful entry</x:v>
      </x:c>
      <x:c r="T314" s="1" t="n">
        <x:v>1</x:v>
      </x:c>
      <x:c r="U314" s="5" t="str"/>
      <x:c r="V314" s="1" t="n">
        <x:v>1</x:v>
      </x:c>
      <x:c r="W314" s="1" t="n">
        <x:v>0</x:v>
      </x:c>
      <x:c r="X314" s="1" t="str">
        <x:v>GRANTED</x:v>
      </x:c>
      <x:c r="Y314" s="1" t="n">
        <x:f>IF(V314=1,IF(E314="GRANTED",IF(X314="GRANTED",1,0),IF(X314="DENIED",1,0)),0)</x:f>
        <x:v>1</x:v>
      </x:c>
    </x:row>
    <x:row r="315" ht="23" customHeight="1">
      <x:c r="A315" s="9" t="n">
        <x:v>46247.440539930554</x:v>
      </x:c>
      <x:c r="B315" s="1" t="str">
        <x:v>[TEMP] Pedro Reyes</x:v>
      </x:c>
      <x:c r="C315" s="1" t="str">
        <x:v>Entry</x:v>
      </x:c>
      <x:c r="D315" s="1" t="str">
        <x:v>Fast</x:v>
      </x:c>
      <x:c r="E315" s="1" t="str">
        <x:v>GRANTED</x:v>
      </x:c>
      <x:c r="F315" s="11" t="n">
        <x:v>11.5301</x:v>
      </x:c>
      <x:c r="G315" s="11" t="str">
        <x:v>N/A (Bypassed)</x:v>
      </x:c>
      <x:c r="H315" s="11" t="str">
        <x:v>N/A (Bypassed)</x:v>
      </x:c>
      <x:c r="I315" s="11" t="str">
        <x:v>N/A (Bypassed)</x:v>
      </x:c>
      <x:c r="J315" s="11" t="str">
        <x:v>N/A (Bypassed)</x:v>
      </x:c>
      <x:c r="K315" s="11" t="str">
        <x:v>N/A</x:v>
      </x:c>
      <x:c r="L315" s="11" t="n">
        <x:v>11.5301</x:v>
      </x:c>
      <x:c r="M315" s="11" t="n">
        <x:v>4.4718</x:v>
      </x:c>
      <x:c r="N315" s="1" t="str">
        <x:v>6898be28591c4e1abe73f83f56b307e4</x:v>
      </x:c>
      <x:c r="O315" s="1" t="str">
        <x:v>Admin Office - 1</x:v>
      </x:c>
      <x:c r="P315" s="1" t="n">
        <x:v>2</x:v>
      </x:c>
      <x:c r="Q315" s="1" t="str">
        <x:v>fast_mode_logs</x:v>
      </x:c>
      <x:c r="R315" s="1" t="n">
        <x:v>61</x:v>
      </x:c>
      <x:c r="S315" s="1" t="str">
        <x:v>Successful entry</x:v>
      </x:c>
      <x:c r="T315" s="1" t="n">
        <x:v>1</x:v>
      </x:c>
      <x:c r="U315" s="5" t="str"/>
      <x:c r="V315" s="1" t="n">
        <x:v>1</x:v>
      </x:c>
      <x:c r="W315" s="1" t="n">
        <x:v>0</x:v>
      </x:c>
      <x:c r="X315" s="1" t="str">
        <x:v>GRANTED</x:v>
      </x:c>
      <x:c r="Y315" s="1" t="n">
        <x:f>IF(V315=1,IF(E315="GRANTED",IF(X315="GRANTED",1,0),IF(X315="DENIED",1,0)),0)</x:f>
        <x:v>1</x:v>
      </x:c>
    </x:row>
    <x:row r="316" ht="23" customHeight="1">
      <x:c r="A316" s="9" t="n">
        <x:v>46247.44050732639</x:v>
      </x:c>
      <x:c r="B316" s="1" t="str">
        <x:v>[TEMP] Jose Santos</x:v>
      </x:c>
      <x:c r="C316" s="1" t="str">
        <x:v>Entry</x:v>
      </x:c>
      <x:c r="D316" s="1" t="str">
        <x:v>Fast</x:v>
      </x:c>
      <x:c r="E316" s="1" t="str">
        <x:v>GRANTED</x:v>
      </x:c>
      <x:c r="F316" s="11" t="n">
        <x:v>11.1605</x:v>
      </x:c>
      <x:c r="G316" s="11" t="str">
        <x:v>N/A (Bypassed)</x:v>
      </x:c>
      <x:c r="H316" s="11" t="str">
        <x:v>N/A (Bypassed)</x:v>
      </x:c>
      <x:c r="I316" s="11" t="str">
        <x:v>N/A (Bypassed)</x:v>
      </x:c>
      <x:c r="J316" s="11" t="str">
        <x:v>N/A (Bypassed)</x:v>
      </x:c>
      <x:c r="K316" s="11" t="str">
        <x:v>N/A</x:v>
      </x:c>
      <x:c r="L316" s="11" t="n">
        <x:v>11.1605</x:v>
      </x:c>
      <x:c r="M316" s="11" t="n">
        <x:v>3.7464</x:v>
      </x:c>
      <x:c r="N316" s="1" t="str">
        <x:v>6898be28591c4e1abe73f83f56b307e4</x:v>
      </x:c>
      <x:c r="O316" s="1" t="str">
        <x:v>Admin Office - 1</x:v>
      </x:c>
      <x:c r="P316" s="1" t="n">
        <x:v>2</x:v>
      </x:c>
      <x:c r="Q316" s="1" t="str">
        <x:v>fast_mode_logs</x:v>
      </x:c>
      <x:c r="R316" s="1" t="n">
        <x:v>62</x:v>
      </x:c>
      <x:c r="S316" s="1" t="str">
        <x:v>Successful entry</x:v>
      </x:c>
      <x:c r="T316" s="1" t="n">
        <x:v>1</x:v>
      </x:c>
      <x:c r="U316" s="5" t="str"/>
      <x:c r="V316" s="1" t="n">
        <x:v>1</x:v>
      </x:c>
      <x:c r="W316" s="1" t="n">
        <x:v>0</x:v>
      </x:c>
      <x:c r="X316" s="1" t="str">
        <x:v>GRANTED</x:v>
      </x:c>
      <x:c r="Y316" s="1" t="n">
        <x:f>IF(V316=1,IF(E316="GRANTED",IF(X316="GRANTED",1,0),IF(X316="DENIED",1,0)),0)</x:f>
        <x:v>1</x:v>
      </x:c>
    </x:row>
    <x:row r="317" ht="23" customHeight="1">
      <x:c r="A317" s="9" t="n">
        <x:v>46247.44047087963</x:v>
      </x:c>
      <x:c r="B317" s="1" t="str">
        <x:v>[TEMP] Juan Dela Cruz</x:v>
      </x:c>
      <x:c r="C317" s="1" t="str">
        <x:v>Entry</x:v>
      </x:c>
      <x:c r="D317" s="1" t="str">
        <x:v>Fast</x:v>
      </x:c>
      <x:c r="E317" s="1" t="str">
        <x:v>GRANTED</x:v>
      </x:c>
      <x:c r="F317" s="11" t="n">
        <x:v>9.465</x:v>
      </x:c>
      <x:c r="G317" s="11" t="str">
        <x:v>N/A (Bypassed)</x:v>
      </x:c>
      <x:c r="H317" s="11" t="str">
        <x:v>N/A (Bypassed)</x:v>
      </x:c>
      <x:c r="I317" s="11" t="str">
        <x:v>N/A (Bypassed)</x:v>
      </x:c>
      <x:c r="J317" s="11" t="str">
        <x:v>N/A (Bypassed)</x:v>
      </x:c>
      <x:c r="K317" s="11" t="str">
        <x:v>N/A</x:v>
      </x:c>
      <x:c r="L317" s="11" t="n">
        <x:v>9.465</x:v>
      </x:c>
      <x:c r="M317" s="11" t="n">
        <x:v>0.5415</x:v>
      </x:c>
      <x:c r="N317" s="1" t="str">
        <x:v>6898be28591c4e1abe73f83f56b307e4</x:v>
      </x:c>
      <x:c r="O317" s="1" t="str">
        <x:v>Admin Office - 1</x:v>
      </x:c>
      <x:c r="P317" s="1" t="n">
        <x:v>2</x:v>
      </x:c>
      <x:c r="Q317" s="1" t="str">
        <x:v>fast_mode_logs</x:v>
      </x:c>
      <x:c r="R317" s="1" t="n">
        <x:v>63</x:v>
      </x:c>
      <x:c r="S317" s="1" t="str">
        <x:v>Successful entry</x:v>
      </x:c>
      <x:c r="T317" s="1" t="n">
        <x:v>1</x:v>
      </x:c>
      <x:c r="U317" s="5" t="str"/>
      <x:c r="V317" s="1" t="n">
        <x:v>1</x:v>
      </x:c>
      <x:c r="W317" s="1" t="n">
        <x:v>0</x:v>
      </x:c>
      <x:c r="X317" s="1" t="str">
        <x:v>GRANTED</x:v>
      </x:c>
      <x:c r="Y317" s="1" t="n">
        <x:f>IF(V317=1,IF(E317="GRANTED",IF(X317="GRANTED",1,0),IF(X317="DENIED",1,0)),0)</x:f>
        <x:v>1</x:v>
      </x:c>
    </x:row>
    <x:row r="318" ht="23" customHeight="1">
      <x:c r="A318" s="9" t="n">
        <x:v>46247.44649269676</x:v>
      </x:c>
      <x:c r="B318" s="1" t="str">
        <x:v>[TEMP] Juan Dela Cruz</x:v>
      </x:c>
      <x:c r="C318" s="1" t="str">
        <x:v>Exit</x:v>
      </x:c>
      <x:c r="D318" s="1" t="str">
        <x:v>Standard</x:v>
      </x:c>
      <x:c r="E318" s="1" t="str">
        <x:v>GRANTED</x:v>
      </x:c>
      <x:c r="F318" s="11" t="n">
        <x:v>10.5238</x:v>
      </x:c>
      <x:c r="G318" s="11" t="str">
        <x:v>N/A (Bypassed)</x:v>
      </x:c>
      <x:c r="H318" s="11" t="str">
        <x:v>N/A (Bypassed)</x:v>
      </x:c>
      <x:c r="I318" s="11" t="str">
        <x:v>N/A (Bypassed)</x:v>
      </x:c>
      <x:c r="J318" s="11" t="str">
        <x:v>N/A (Bypassed)</x:v>
      </x:c>
      <x:c r="K318" s="11" t="str">
        <x:v>N/A</x:v>
      </x:c>
      <x:c r="L318" s="11" t="n">
        <x:v>10.5238</x:v>
      </x:c>
      <x:c r="M318" s="11" t="n">
        <x:v>3.0846</x:v>
      </x:c>
      <x:c r="N318" s="1" t="str">
        <x:v>6898be28591c4e1abe73f83f56b307e4</x:v>
      </x:c>
      <x:c r="O318" s="1" t="str">
        <x:v>Admin Office - 1</x:v>
      </x:c>
      <x:c r="P318" s="1" t="n">
        <x:v>2</x:v>
      </x:c>
      <x:c r="Q318" s="1" t="str">
        <x:v>standard_mode_logs</x:v>
      </x:c>
      <x:c r="R318" s="1" t="n">
        <x:v>2</x:v>
      </x:c>
      <x:c r="S318" s="1" t="str">
        <x:v>Reset exit</x:v>
      </x:c>
      <x:c r="T318" s="1"/>
      <x:c r="U318" s="5" t="str"/>
      <x:c r="V318" s="1" t="n">
        <x:v>0</x:v>
      </x:c>
      <x:c r="W318" s="1" t="n">
        <x:v>0</x:v>
      </x:c>
      <x:c r="X318" s="1" t="str">
        <x:v>Not applicable</x:v>
      </x:c>
      <x:c r="Y318" s="1" t="n">
        <x:f>IF(V318=1,IF(E318="GRANTED",IF(X318="GRANTED",1,0),IF(X318="DENIED",1,0)),0)</x:f>
        <x:v>0</x:v>
      </x:c>
    </x:row>
    <x:row r="319" ht="23" customHeight="1">
      <x:c r="A319" s="9" t="n">
        <x:v>46247.44646748842</x:v>
      </x:c>
      <x:c r="B319" s="1" t="str">
        <x:v>[TEMP] Jose Santos</x:v>
      </x:c>
      <x:c r="C319" s="1" t="str">
        <x:v>Exit</x:v>
      </x:c>
      <x:c r="D319" s="1" t="str">
        <x:v>Standard</x:v>
      </x:c>
      <x:c r="E319" s="1" t="str">
        <x:v>GRANTED</x:v>
      </x:c>
      <x:c r="F319" s="11" t="n">
        <x:v>14.093</x:v>
      </x:c>
      <x:c r="G319" s="11" t="str">
        <x:v>N/A (Bypassed)</x:v>
      </x:c>
      <x:c r="H319" s="11" t="str">
        <x:v>N/A (Bypassed)</x:v>
      </x:c>
      <x:c r="I319" s="11" t="str">
        <x:v>N/A (Bypassed)</x:v>
      </x:c>
      <x:c r="J319" s="11" t="str">
        <x:v>N/A (Bypassed)</x:v>
      </x:c>
      <x:c r="K319" s="11" t="str">
        <x:v>N/A</x:v>
      </x:c>
      <x:c r="L319" s="11" t="n">
        <x:v>14.093</x:v>
      </x:c>
      <x:c r="M319" s="11" t="n">
        <x:v>5.5676</x:v>
      </x:c>
      <x:c r="N319" s="1" t="str">
        <x:v>6898be28591c4e1abe73f83f56b307e4</x:v>
      </x:c>
      <x:c r="O319" s="1" t="str">
        <x:v>Admin Office - 1</x:v>
      </x:c>
      <x:c r="P319" s="1" t="n">
        <x:v>2</x:v>
      </x:c>
      <x:c r="Q319" s="1" t="str">
        <x:v>standard_mode_logs</x:v>
      </x:c>
      <x:c r="R319" s="1" t="n">
        <x:v>3</x:v>
      </x:c>
      <x:c r="S319" s="1" t="str">
        <x:v>Reset exit</x:v>
      </x:c>
      <x:c r="T319" s="1"/>
      <x:c r="U319" s="5" t="str"/>
      <x:c r="V319" s="1" t="n">
        <x:v>0</x:v>
      </x:c>
      <x:c r="W319" s="1" t="n">
        <x:v>0</x:v>
      </x:c>
      <x:c r="X319" s="1" t="str">
        <x:v>Not applicable</x:v>
      </x:c>
      <x:c r="Y319" s="1" t="n">
        <x:f>IF(V319=1,IF(E319="GRANTED",IF(X319="GRANTED",1,0),IF(X319="DENIED",1,0)),0)</x:f>
        <x:v>0</x:v>
      </x:c>
    </x:row>
    <x:row r="320" ht="23" customHeight="1">
      <x:c r="A320" s="9" t="n">
        <x:v>46247.446444016205</x:v>
      </x:c>
      <x:c r="B320" s="1" t="str">
        <x:v>[TEMP] Pedro Reyes</x:v>
      </x:c>
      <x:c r="C320" s="1" t="str">
        <x:v>Exit</x:v>
      </x:c>
      <x:c r="D320" s="1" t="str">
        <x:v>Standard</x:v>
      </x:c>
      <x:c r="E320" s="1" t="str">
        <x:v>GRANTED</x:v>
      </x:c>
      <x:c r="F320" s="11" t="n">
        <x:v>14.1654</x:v>
      </x:c>
      <x:c r="G320" s="11" t="str">
        <x:v>N/A (Bypassed)</x:v>
      </x:c>
      <x:c r="H320" s="11" t="str">
        <x:v>N/A (Bypassed)</x:v>
      </x:c>
      <x:c r="I320" s="11" t="str">
        <x:v>N/A (Bypassed)</x:v>
      </x:c>
      <x:c r="J320" s="11" t="str">
        <x:v>N/A (Bypassed)</x:v>
      </x:c>
      <x:c r="K320" s="11" t="str">
        <x:v>N/A</x:v>
      </x:c>
      <x:c r="L320" s="11" t="n">
        <x:v>14.1654</x:v>
      </x:c>
      <x:c r="M320" s="11" t="n">
        <x:v>5.2161</x:v>
      </x:c>
      <x:c r="N320" s="1" t="str">
        <x:v>6898be28591c4e1abe73f83f56b307e4</x:v>
      </x:c>
      <x:c r="O320" s="1" t="str">
        <x:v>Admin Office - 1</x:v>
      </x:c>
      <x:c r="P320" s="1" t="n">
        <x:v>2</x:v>
      </x:c>
      <x:c r="Q320" s="1" t="str">
        <x:v>standard_mode_logs</x:v>
      </x:c>
      <x:c r="R320" s="1" t="n">
        <x:v>4</x:v>
      </x:c>
      <x:c r="S320" s="1" t="str">
        <x:v>Reset exit</x:v>
      </x:c>
      <x:c r="T320" s="1"/>
      <x:c r="U320" s="5" t="str"/>
      <x:c r="V320" s="1" t="n">
        <x:v>0</x:v>
      </x:c>
      <x:c r="W320" s="1" t="n">
        <x:v>0</x:v>
      </x:c>
      <x:c r="X320" s="1" t="str">
        <x:v>Not applicable</x:v>
      </x:c>
      <x:c r="Y320" s="1" t="n">
        <x:f>IF(V320=1,IF(E320="GRANTED",IF(X320="GRANTED",1,0),IF(X320="DENIED",1,0)),0)</x:f>
        <x:v>0</x:v>
      </x:c>
    </x:row>
    <x:row r="321" ht="23" customHeight="1">
      <x:c r="A321" s="9" t="n">
        <x:v>46247.44642128472</x:v>
      </x:c>
      <x:c r="B321" s="1" t="str">
        <x:v>Francisco Garcia</x:v>
      </x:c>
      <x:c r="C321" s="1" t="str">
        <x:v>Exit</x:v>
      </x:c>
      <x:c r="D321" s="1" t="str">
        <x:v>Standard</x:v>
      </x:c>
      <x:c r="E321" s="1" t="str">
        <x:v>GRANTED</x:v>
      </x:c>
      <x:c r="F321" s="11" t="n">
        <x:v>11.718</x:v>
      </x:c>
      <x:c r="G321" s="11" t="str">
        <x:v>N/A (Bypassed)</x:v>
      </x:c>
      <x:c r="H321" s="11" t="str">
        <x:v>N/A (Bypassed)</x:v>
      </x:c>
      <x:c r="I321" s="11" t="str">
        <x:v>N/A (Bypassed)</x:v>
      </x:c>
      <x:c r="J321" s="11" t="str">
        <x:v>N/A (Bypassed)</x:v>
      </x:c>
      <x:c r="K321" s="11" t="str">
        <x:v>N/A</x:v>
      </x:c>
      <x:c r="L321" s="11" t="n">
        <x:v>11.718</x:v>
      </x:c>
      <x:c r="M321" s="11" t="n">
        <x:v>3.1794</x:v>
      </x:c>
      <x:c r="N321" s="1" t="str">
        <x:v>6898be28591c4e1abe73f83f56b307e4</x:v>
      </x:c>
      <x:c r="O321" s="1" t="str">
        <x:v>Admin Office - 1</x:v>
      </x:c>
      <x:c r="P321" s="1" t="n">
        <x:v>2</x:v>
      </x:c>
      <x:c r="Q321" s="1" t="str">
        <x:v>standard_mode_logs</x:v>
      </x:c>
      <x:c r="R321" s="1" t="n">
        <x:v>5</x:v>
      </x:c>
      <x:c r="S321" s="1" t="str">
        <x:v>Reset exit</x:v>
      </x:c>
      <x:c r="T321" s="1"/>
      <x:c r="U321" s="5" t="str"/>
      <x:c r="V321" s="1" t="n">
        <x:v>0</x:v>
      </x:c>
      <x:c r="W321" s="1" t="n">
        <x:v>0</x:v>
      </x:c>
      <x:c r="X321" s="1" t="str">
        <x:v>Not applicable</x:v>
      </x:c>
      <x:c r="Y321" s="1" t="n">
        <x:f>IF(V321=1,IF(E321="GRANTED",IF(X321="GRANTED",1,0),IF(X321="DENIED",1,0)),0)</x:f>
        <x:v>0</x:v>
      </x:c>
    </x:row>
    <x:row r="322" ht="23" customHeight="1">
      <x:c r="A322" s="9" t="n">
        <x:v>46247.44639898148</x:v>
      </x:c>
      <x:c r="B322" s="1" t="str">
        <x:v>[TEMP] Manuel Mendoza</x:v>
      </x:c>
      <x:c r="C322" s="1" t="str">
        <x:v>Exit</x:v>
      </x:c>
      <x:c r="D322" s="1" t="str">
        <x:v>Standard</x:v>
      </x:c>
      <x:c r="E322" s="1" t="str">
        <x:v>GRANTED</x:v>
      </x:c>
      <x:c r="F322" s="11" t="n">
        <x:v>12.2372</x:v>
      </x:c>
      <x:c r="G322" s="11" t="str">
        <x:v>N/A (Bypassed)</x:v>
      </x:c>
      <x:c r="H322" s="11" t="str">
        <x:v>N/A (Bypassed)</x:v>
      </x:c>
      <x:c r="I322" s="11" t="str">
        <x:v>N/A (Bypassed)</x:v>
      </x:c>
      <x:c r="J322" s="11" t="str">
        <x:v>N/A (Bypassed)</x:v>
      </x:c>
      <x:c r="K322" s="11" t="str">
        <x:v>N/A</x:v>
      </x:c>
      <x:c r="L322" s="11" t="n">
        <x:v>12.2372</x:v>
      </x:c>
      <x:c r="M322" s="11" t="n">
        <x:v>2.9725</x:v>
      </x:c>
      <x:c r="N322" s="1" t="str">
        <x:v>6898be28591c4e1abe73f83f56b307e4</x:v>
      </x:c>
      <x:c r="O322" s="1" t="str">
        <x:v>Admin Office - 1</x:v>
      </x:c>
      <x:c r="P322" s="1" t="n">
        <x:v>2</x:v>
      </x:c>
      <x:c r="Q322" s="1" t="str">
        <x:v>standard_mode_logs</x:v>
      </x:c>
      <x:c r="R322" s="1" t="n">
        <x:v>6</x:v>
      </x:c>
      <x:c r="S322" s="1" t="str">
        <x:v>Reset exit</x:v>
      </x:c>
      <x:c r="T322" s="1"/>
      <x:c r="U322" s="5" t="str"/>
      <x:c r="V322" s="1" t="n">
        <x:v>0</x:v>
      </x:c>
      <x:c r="W322" s="1" t="n">
        <x:v>0</x:v>
      </x:c>
      <x:c r="X322" s="1" t="str">
        <x:v>Not applicable</x:v>
      </x:c>
      <x:c r="Y322" s="1" t="n">
        <x:f>IF(V322=1,IF(E322="GRANTED",IF(X322="GRANTED",1,0),IF(X322="DENIED",1,0)),0)</x:f>
        <x:v>0</x:v>
      </x:c>
    </x:row>
    <x:row r="323" ht="23" customHeight="1">
      <x:c r="A323" s="9" t="n">
        <x:v>46247.44637605324</x:v>
      </x:c>
      <x:c r="B323" s="1" t="str">
        <x:v>Juanito Delos Santos</x:v>
      </x:c>
      <x:c r="C323" s="1" t="str">
        <x:v>Exit</x:v>
      </x:c>
      <x:c r="D323" s="1" t="str">
        <x:v>Standard</x:v>
      </x:c>
      <x:c r="E323" s="1" t="str">
        <x:v>GRANTED</x:v>
      </x:c>
      <x:c r="F323" s="11" t="n">
        <x:v>12.5099</x:v>
      </x:c>
      <x:c r="G323" s="11" t="str">
        <x:v>N/A (Bypassed)</x:v>
      </x:c>
      <x:c r="H323" s="11" t="str">
        <x:v>N/A (Bypassed)</x:v>
      </x:c>
      <x:c r="I323" s="11" t="str">
        <x:v>N/A (Bypassed)</x:v>
      </x:c>
      <x:c r="J323" s="11" t="str">
        <x:v>N/A (Bypassed)</x:v>
      </x:c>
      <x:c r="K323" s="11" t="str">
        <x:v>N/A</x:v>
      </x:c>
      <x:c r="L323" s="11" t="n">
        <x:v>12.5099</x:v>
      </x:c>
      <x:c r="M323" s="11" t="n">
        <x:v>3.4007</x:v>
      </x:c>
      <x:c r="N323" s="1" t="str">
        <x:v>6898be28591c4e1abe73f83f56b307e4</x:v>
      </x:c>
      <x:c r="O323" s="1" t="str">
        <x:v>Admin Office - 1</x:v>
      </x:c>
      <x:c r="P323" s="1" t="n">
        <x:v>2</x:v>
      </x:c>
      <x:c r="Q323" s="1" t="str">
        <x:v>standard_mode_logs</x:v>
      </x:c>
      <x:c r="R323" s="1" t="n">
        <x:v>7</x:v>
      </x:c>
      <x:c r="S323" s="1" t="str">
        <x:v>Reset exit</x:v>
      </x:c>
      <x:c r="T323" s="1"/>
      <x:c r="U323" s="5" t="str"/>
      <x:c r="V323" s="1" t="n">
        <x:v>0</x:v>
      </x:c>
      <x:c r="W323" s="1" t="n">
        <x:v>0</x:v>
      </x:c>
      <x:c r="X323" s="1" t="str">
        <x:v>Not applicable</x:v>
      </x:c>
      <x:c r="Y323" s="1" t="n">
        <x:f>IF(V323=1,IF(E323="GRANTED",IF(X323="GRANTED",1,0),IF(X323="DENIED",1,0)),0)</x:f>
        <x:v>0</x:v>
      </x:c>
    </x:row>
    <x:row r="324" ht="23" customHeight="1">
      <x:c r="A324" s="9" t="n">
        <x:v>46247.446352349536</x:v>
      </x:c>
      <x:c r="B324" s="1" t="str">
        <x:v>Roberto Ramos</x:v>
      </x:c>
      <x:c r="C324" s="1" t="str">
        <x:v>Exit</x:v>
      </x:c>
      <x:c r="D324" s="1" t="str">
        <x:v>Standard</x:v>
      </x:c>
      <x:c r="E324" s="1" t="str">
        <x:v>GRANTED</x:v>
      </x:c>
      <x:c r="F324" s="11" t="n">
        <x:v>11.4918</x:v>
      </x:c>
      <x:c r="G324" s="11" t="str">
        <x:v>N/A (Bypassed)</x:v>
      </x:c>
      <x:c r="H324" s="11" t="str">
        <x:v>N/A (Bypassed)</x:v>
      </x:c>
      <x:c r="I324" s="11" t="str">
        <x:v>N/A (Bypassed)</x:v>
      </x:c>
      <x:c r="J324" s="11" t="str">
        <x:v>N/A (Bypassed)</x:v>
      </x:c>
      <x:c r="K324" s="11" t="str">
        <x:v>N/A</x:v>
      </x:c>
      <x:c r="L324" s="11" t="n">
        <x:v>11.4918</x:v>
      </x:c>
      <x:c r="M324" s="11" t="n">
        <x:v>3.0072</x:v>
      </x:c>
      <x:c r="N324" s="1" t="str">
        <x:v>6898be28591c4e1abe73f83f56b307e4</x:v>
      </x:c>
      <x:c r="O324" s="1" t="str">
        <x:v>Admin Office - 1</x:v>
      </x:c>
      <x:c r="P324" s="1" t="n">
        <x:v>2</x:v>
      </x:c>
      <x:c r="Q324" s="1" t="str">
        <x:v>standard_mode_logs</x:v>
      </x:c>
      <x:c r="R324" s="1" t="n">
        <x:v>8</x:v>
      </x:c>
      <x:c r="S324" s="1" t="str">
        <x:v>Reset exit</x:v>
      </x:c>
      <x:c r="T324" s="1"/>
      <x:c r="U324" s="5" t="str"/>
      <x:c r="V324" s="1" t="n">
        <x:v>0</x:v>
      </x:c>
      <x:c r="W324" s="1" t="n">
        <x:v>0</x:v>
      </x:c>
      <x:c r="X324" s="1" t="str">
        <x:v>Not applicable</x:v>
      </x:c>
      <x:c r="Y324" s="1" t="n">
        <x:f>IF(V324=1,IF(E324="GRANTED",IF(X324="GRANTED",1,0),IF(X324="DENIED",1,0)),0)</x:f>
        <x:v>0</x:v>
      </x:c>
    </x:row>
    <x:row r="325" ht="23" customHeight="1">
      <x:c r="A325" s="9" t="n">
        <x:v>46247.44631413194</x:v>
      </x:c>
      <x:c r="B325" s="1" t="str">
        <x:v>Angelito Fernandez</x:v>
      </x:c>
      <x:c r="C325" s="1" t="str">
        <x:v>Exit</x:v>
      </x:c>
      <x:c r="D325" s="1" t="str">
        <x:v>Standard</x:v>
      </x:c>
      <x:c r="E325" s="1" t="str">
        <x:v>GRANTED</x:v>
      </x:c>
      <x:c r="F325" s="11" t="n">
        <x:v>12.2872</x:v>
      </x:c>
      <x:c r="G325" s="11" t="str">
        <x:v>N/A (Bypassed)</x:v>
      </x:c>
      <x:c r="H325" s="11" t="str">
        <x:v>N/A (Bypassed)</x:v>
      </x:c>
      <x:c r="I325" s="11" t="str">
        <x:v>N/A (Bypassed)</x:v>
      </x:c>
      <x:c r="J325" s="11" t="str">
        <x:v>N/A (Bypassed)</x:v>
      </x:c>
      <x:c r="K325" s="11" t="str">
        <x:v>N/A</x:v>
      </x:c>
      <x:c r="L325" s="11" t="n">
        <x:v>12.2872</x:v>
      </x:c>
      <x:c r="M325" s="11" t="n">
        <x:v>3.3656</x:v>
      </x:c>
      <x:c r="N325" s="1" t="str">
        <x:v>6898be28591c4e1abe73f83f56b307e4</x:v>
      </x:c>
      <x:c r="O325" s="1" t="str">
        <x:v>Admin Office - 1</x:v>
      </x:c>
      <x:c r="P325" s="1" t="n">
        <x:v>2</x:v>
      </x:c>
      <x:c r="Q325" s="1" t="str">
        <x:v>standard_mode_logs</x:v>
      </x:c>
      <x:c r="R325" s="1" t="n">
        <x:v>9</x:v>
      </x:c>
      <x:c r="S325" s="1" t="str">
        <x:v>Reset exit</x:v>
      </x:c>
      <x:c r="T325" s="1"/>
      <x:c r="U325" s="5" t="str"/>
      <x:c r="V325" s="1" t="n">
        <x:v>0</x:v>
      </x:c>
      <x:c r="W325" s="1" t="n">
        <x:v>0</x:v>
      </x:c>
      <x:c r="X325" s="1" t="str">
        <x:v>Not applicable</x:v>
      </x:c>
      <x:c r="Y325" s="1" t="n">
        <x:f>IF(V325=1,IF(E325="GRANTED",IF(X325="GRANTED",1,0),IF(X325="DENIED",1,0)),0)</x:f>
        <x:v>0</x:v>
      </x:c>
    </x:row>
    <x:row r="326" ht="23" customHeight="1">
      <x:c r="A326" s="9" t="n">
        <x:v>46247.4462875926</x:v>
      </x:c>
      <x:c r="B326" s="1" t="str">
        <x:v>Jose Mari Bautista</x:v>
      </x:c>
      <x:c r="C326" s="1" t="str">
        <x:v>Exit</x:v>
      </x:c>
      <x:c r="D326" s="1" t="str">
        <x:v>Standard</x:v>
      </x:c>
      <x:c r="E326" s="1" t="str">
        <x:v>GRANTED</x:v>
      </x:c>
      <x:c r="F326" s="11" t="n">
        <x:v>9.852</x:v>
      </x:c>
      <x:c r="G326" s="11" t="str">
        <x:v>N/A (Bypassed)</x:v>
      </x:c>
      <x:c r="H326" s="11" t="str">
        <x:v>N/A (Bypassed)</x:v>
      </x:c>
      <x:c r="I326" s="11" t="str">
        <x:v>N/A (Bypassed)</x:v>
      </x:c>
      <x:c r="J326" s="11" t="str">
        <x:v>N/A (Bypassed)</x:v>
      </x:c>
      <x:c r="K326" s="11" t="str">
        <x:v>N/A</x:v>
      </x:c>
      <x:c r="L326" s="11" t="n">
        <x:v>9.852</x:v>
      </x:c>
      <x:c r="M326" s="11" t="n">
        <x:v>2.5348</x:v>
      </x:c>
      <x:c r="N326" s="1" t="str">
        <x:v>6898be28591c4e1abe73f83f56b307e4</x:v>
      </x:c>
      <x:c r="O326" s="1" t="str">
        <x:v>Admin Office - 1</x:v>
      </x:c>
      <x:c r="P326" s="1" t="n">
        <x:v>2</x:v>
      </x:c>
      <x:c r="Q326" s="1" t="str">
        <x:v>standard_mode_logs</x:v>
      </x:c>
      <x:c r="R326" s="1" t="n">
        <x:v>10</x:v>
      </x:c>
      <x:c r="S326" s="1" t="str">
        <x:v>Reset exit</x:v>
      </x:c>
      <x:c r="T326" s="1"/>
      <x:c r="U326" s="5" t="str"/>
      <x:c r="V326" s="1" t="n">
        <x:v>0</x:v>
      </x:c>
      <x:c r="W326" s="1" t="n">
        <x:v>0</x:v>
      </x:c>
      <x:c r="X326" s="1" t="str">
        <x:v>Not applicable</x:v>
      </x:c>
      <x:c r="Y326" s="1" t="n">
        <x:f>IF(V326=1,IF(E326="GRANTED",IF(X326="GRANTED",1,0),IF(X326="DENIED",1,0)),0)</x:f>
        <x:v>0</x:v>
      </x:c>
    </x:row>
    <x:row r="327" ht="23" customHeight="1">
      <x:c r="A327" s="9" t="n">
        <x:v>46247.446264108796</x:v>
      </x:c>
      <x:c r="B327" s="1" t="str">
        <x:v>Bayani Dela Rosa</x:v>
      </x:c>
      <x:c r="C327" s="1" t="str">
        <x:v>Exit</x:v>
      </x:c>
      <x:c r="D327" s="1" t="str">
        <x:v>Standard</x:v>
      </x:c>
      <x:c r="E327" s="1" t="str">
        <x:v>GRANTED</x:v>
      </x:c>
      <x:c r="F327" s="11" t="n">
        <x:v>9.2842</x:v>
      </x:c>
      <x:c r="G327" s="11" t="str">
        <x:v>N/A (Bypassed)</x:v>
      </x:c>
      <x:c r="H327" s="11" t="str">
        <x:v>N/A (Bypassed)</x:v>
      </x:c>
      <x:c r="I327" s="11" t="str">
        <x:v>N/A (Bypassed)</x:v>
      </x:c>
      <x:c r="J327" s="11" t="str">
        <x:v>N/A (Bypassed)</x:v>
      </x:c>
      <x:c r="K327" s="11" t="str">
        <x:v>N/A</x:v>
      </x:c>
      <x:c r="L327" s="11" t="n">
        <x:v>9.2842</x:v>
      </x:c>
      <x:c r="M327" s="11" t="n">
        <x:v>0.5894</x:v>
      </x:c>
      <x:c r="N327" s="1" t="str">
        <x:v>6898be28591c4e1abe73f83f56b307e4</x:v>
      </x:c>
      <x:c r="O327" s="1" t="str">
        <x:v>Admin Office - 1</x:v>
      </x:c>
      <x:c r="P327" s="1" t="n">
        <x:v>2</x:v>
      </x:c>
      <x:c r="Q327" s="1" t="str">
        <x:v>standard_mode_logs</x:v>
      </x:c>
      <x:c r="R327" s="1" t="n">
        <x:v>11</x:v>
      </x:c>
      <x:c r="S327" s="1" t="str">
        <x:v>Reset exit</x:v>
      </x:c>
      <x:c r="T327" s="1"/>
      <x:c r="U327" s="5" t="str"/>
      <x:c r="V327" s="1" t="n">
        <x:v>0</x:v>
      </x:c>
      <x:c r="W327" s="1" t="n">
        <x:v>0</x:v>
      </x:c>
      <x:c r="X327" s="1" t="str">
        <x:v>Not applicable</x:v>
      </x:c>
      <x:c r="Y327" s="1" t="n">
        <x:f>IF(V327=1,IF(E327="GRANTED",IF(X327="GRANTED",1,0),IF(X327="DENIED",1,0)),0)</x:f>
        <x:v>0</x:v>
      </x:c>
    </x:row>
    <x:row r="328" ht="23" customHeight="1">
      <x:c r="A328" s="9" t="n">
        <x:v>46247.44608887732</x:v>
      </x:c>
      <x:c r="B328" s="1" t="str">
        <x:v>Bayani Dela Rosa</x:v>
      </x:c>
      <x:c r="C328" s="1" t="str">
        <x:v>Entry</x:v>
      </x:c>
      <x:c r="D328" s="1" t="str">
        <x:v>Standard</x:v>
      </x:c>
      <x:c r="E328" s="1" t="str">
        <x:v>GRANTED</x:v>
      </x:c>
      <x:c r="F328" s="11" t="n">
        <x:v>13.8016</x:v>
      </x:c>
      <x:c r="G328" s="11" t="n">
        <x:v>1814.9107</x:v>
      </x:c>
      <x:c r="H328" s="11" t="n">
        <x:v>37.9995</x:v>
      </x:c>
      <x:c r="I328" s="11" t="str">
        <x:v>N/A (Bypassed)</x:v>
      </x:c>
      <x:c r="J328" s="11" t="str">
        <x:v>N/A (Bypassed)</x:v>
      </x:c>
      <x:c r="K328" s="11" t="n">
        <x:v>1814.9107</x:v>
      </x:c>
      <x:c r="L328" s="11" t="n">
        <x:v>51.8011</x:v>
      </x:c>
      <x:c r="M328" s="11" t="n">
        <x:v>44.0573</x:v>
      </x:c>
      <x:c r="N328" s="1" t="str">
        <x:v>6898be28591c4e1abe73f83f56b307e4</x:v>
      </x:c>
      <x:c r="O328" s="1" t="str">
        <x:v>Admin Office - 1</x:v>
      </x:c>
      <x:c r="P328" s="1" t="n">
        <x:v>2</x:v>
      </x:c>
      <x:c r="Q328" s="1" t="str">
        <x:v>standard_mode_logs</x:v>
      </x:c>
      <x:c r="R328" s="1" t="n">
        <x:v>12</x:v>
      </x:c>
      <x:c r="S328" s="1" t="str">
        <x:v>Successful entry</x:v>
      </x:c>
      <x:c r="T328" s="1" t="n">
        <x:v>2</x:v>
      </x:c>
      <x:c r="U328" s="5" t="str"/>
      <x:c r="V328" s="1" t="n">
        <x:v>1</x:v>
      </x:c>
      <x:c r="W328" s="1" t="n">
        <x:v>1</x:v>
      </x:c>
      <x:c r="X328" s="1" t="str">
        <x:v>GRANTED</x:v>
      </x:c>
      <x:c r="Y328" s="1" t="n">
        <x:f>IF(V328=1,IF(E328="GRANTED",IF(X328="GRANTED",1,0),IF(X328="DENIED",1,0)),0)</x:f>
        <x:v>1</x:v>
      </x:c>
    </x:row>
    <x:row r="329" ht="23" customHeight="1">
      <x:c r="A329" s="9" t="n">
        <x:v>46247.446023807875</x:v>
      </x:c>
      <x:c r="B329" s="1" t="str">
        <x:v>Jose Mari Bautista</x:v>
      </x:c>
      <x:c r="C329" s="1" t="str">
        <x:v>Entry</x:v>
      </x:c>
      <x:c r="D329" s="1" t="str">
        <x:v>Standard</x:v>
      </x:c>
      <x:c r="E329" s="1" t="str">
        <x:v>GRANTED</x:v>
      </x:c>
      <x:c r="F329" s="11" t="n">
        <x:v>12.8328</x:v>
      </x:c>
      <x:c r="G329" s="11" t="n">
        <x:v>3520.6674</x:v>
      </x:c>
      <x:c r="H329" s="11" t="n">
        <x:v>37.8661</x:v>
      </x:c>
      <x:c r="I329" s="11" t="str">
        <x:v>N/A (Bypassed)</x:v>
      </x:c>
      <x:c r="J329" s="11" t="str">
        <x:v>N/A (Bypassed)</x:v>
      </x:c>
      <x:c r="K329" s="11" t="n">
        <x:v>3520.6674</x:v>
      </x:c>
      <x:c r="L329" s="11" t="n">
        <x:v>50.6989</x:v>
      </x:c>
      <x:c r="M329" s="11" t="n">
        <x:v>41.2583</x:v>
      </x:c>
      <x:c r="N329" s="1" t="str">
        <x:v>6898be28591c4e1abe73f83f56b307e4</x:v>
      </x:c>
      <x:c r="O329" s="1" t="str">
        <x:v>Admin Office - 1</x:v>
      </x:c>
      <x:c r="P329" s="1" t="n">
        <x:v>2</x:v>
      </x:c>
      <x:c r="Q329" s="1" t="str">
        <x:v>standard_mode_logs</x:v>
      </x:c>
      <x:c r="R329" s="1" t="n">
        <x:v>13</x:v>
      </x:c>
      <x:c r="S329" s="1" t="str">
        <x:v>Successful entry</x:v>
      </x:c>
      <x:c r="T329" s="1" t="n">
        <x:v>2</x:v>
      </x:c>
      <x:c r="U329" s="5" t="str"/>
      <x:c r="V329" s="1" t="n">
        <x:v>1</x:v>
      </x:c>
      <x:c r="W329" s="1" t="n">
        <x:v>1</x:v>
      </x:c>
      <x:c r="X329" s="1" t="str">
        <x:v>GRANTED</x:v>
      </x:c>
      <x:c r="Y329" s="1" t="n">
        <x:f>IF(V329=1,IF(E329="GRANTED",IF(X329="GRANTED",1,0),IF(X329="DENIED",1,0)),0)</x:f>
        <x:v>1</x:v>
      </x:c>
    </x:row>
    <x:row r="330" ht="23" customHeight="1">
      <x:c r="A330" s="9" t="n">
        <x:v>46247.44593224537</x:v>
      </x:c>
      <x:c r="B330" s="1" t="str">
        <x:v>Angelito Fernandez</x:v>
      </x:c>
      <x:c r="C330" s="1" t="str">
        <x:v>Entry</x:v>
      </x:c>
      <x:c r="D330" s="1" t="str">
        <x:v>Standard</x:v>
      </x:c>
      <x:c r="E330" s="1" t="str">
        <x:v>GRANTED</x:v>
      </x:c>
      <x:c r="F330" s="11" t="n">
        <x:v>37.7376</x:v>
      </x:c>
      <x:c r="G330" s="11" t="n">
        <x:v>1870.1299</x:v>
      </x:c>
      <x:c r="H330" s="11" t="n">
        <x:v>71.785</x:v>
      </x:c>
      <x:c r="I330" s="11" t="str">
        <x:v>N/A (Bypassed)</x:v>
      </x:c>
      <x:c r="J330" s="11" t="str">
        <x:v>N/A (Bypassed)</x:v>
      </x:c>
      <x:c r="K330" s="11" t="n">
        <x:v>1870.1299</x:v>
      </x:c>
      <x:c r="L330" s="11" t="n">
        <x:v>109.5226</x:v>
      </x:c>
      <x:c r="M330" s="11" t="n">
        <x:v>74.7357</x:v>
      </x:c>
      <x:c r="N330" s="1" t="str">
        <x:v>6898be28591c4e1abe73f83f56b307e4</x:v>
      </x:c>
      <x:c r="O330" s="1" t="str">
        <x:v>Admin Office - 1</x:v>
      </x:c>
      <x:c r="P330" s="1" t="n">
        <x:v>2</x:v>
      </x:c>
      <x:c r="Q330" s="1" t="str">
        <x:v>standard_mode_logs</x:v>
      </x:c>
      <x:c r="R330" s="1" t="n">
        <x:v>14</x:v>
      </x:c>
      <x:c r="S330" s="1" t="str">
        <x:v>Successful entry</x:v>
      </x:c>
      <x:c r="T330" s="1" t="n">
        <x:v>2</x:v>
      </x:c>
      <x:c r="U330" s="5" t="str"/>
      <x:c r="V330" s="1" t="n">
        <x:v>1</x:v>
      </x:c>
      <x:c r="W330" s="1" t="n">
        <x:v>1</x:v>
      </x:c>
      <x:c r="X330" s="1" t="str">
        <x:v>GRANTED</x:v>
      </x:c>
      <x:c r="Y330" s="1" t="n">
        <x:f>IF(V330=1,IF(E330="GRANTED",IF(X330="GRANTED",1,0),IF(X330="DENIED",1,0)),0)</x:f>
        <x:v>1</x:v>
      </x:c>
    </x:row>
    <x:row r="331" ht="23" customHeight="1">
      <x:c r="A331" s="9" t="n">
        <x:v>46247.44585077546</x:v>
      </x:c>
      <x:c r="B331" s="1" t="str">
        <x:v>Roberto Ramos</x:v>
      </x:c>
      <x:c r="C331" s="1" t="str">
        <x:v>Entry</x:v>
      </x:c>
      <x:c r="D331" s="1" t="str">
        <x:v>Standard</x:v>
      </x:c>
      <x:c r="E331" s="1" t="str">
        <x:v>GRANTED</x:v>
      </x:c>
      <x:c r="F331" s="11" t="n">
        <x:v>11.4263</x:v>
      </x:c>
      <x:c r="G331" s="11" t="n">
        <x:v>2859.1669</x:v>
      </x:c>
      <x:c r="H331" s="11" t="n">
        <x:v>39.3332</x:v>
      </x:c>
      <x:c r="I331" s="11" t="str">
        <x:v>N/A (Bypassed)</x:v>
      </x:c>
      <x:c r="J331" s="11" t="str">
        <x:v>N/A (Bypassed)</x:v>
      </x:c>
      <x:c r="K331" s="11" t="n">
        <x:v>2859.1669</x:v>
      </x:c>
      <x:c r="L331" s="11" t="n">
        <x:v>50.7595</x:v>
      </x:c>
      <x:c r="M331" s="11" t="n">
        <x:v>42.6239</x:v>
      </x:c>
      <x:c r="N331" s="1" t="str">
        <x:v>6898be28591c4e1abe73f83f56b307e4</x:v>
      </x:c>
      <x:c r="O331" s="1" t="str">
        <x:v>Admin Office - 1</x:v>
      </x:c>
      <x:c r="P331" s="1" t="n">
        <x:v>2</x:v>
      </x:c>
      <x:c r="Q331" s="1" t="str">
        <x:v>standard_mode_logs</x:v>
      </x:c>
      <x:c r="R331" s="1" t="n">
        <x:v>15</x:v>
      </x:c>
      <x:c r="S331" s="1" t="str">
        <x:v>Successful entry</x:v>
      </x:c>
      <x:c r="T331" s="1" t="n">
        <x:v>2</x:v>
      </x:c>
      <x:c r="U331" s="5" t="str"/>
      <x:c r="V331" s="1" t="n">
        <x:v>1</x:v>
      </x:c>
      <x:c r="W331" s="1" t="n">
        <x:v>1</x:v>
      </x:c>
      <x:c r="X331" s="1" t="str">
        <x:v>GRANTED</x:v>
      </x:c>
      <x:c r="Y331" s="1" t="n">
        <x:f>IF(V331=1,IF(E331="GRANTED",IF(X331="GRANTED",1,0),IF(X331="DENIED",1,0)),0)</x:f>
        <x:v>1</x:v>
      </x:c>
    </x:row>
    <x:row r="332" ht="23" customHeight="1">
      <x:c r="A332" s="9" t="n">
        <x:v>46247.44574898148</x:v>
      </x:c>
      <x:c r="B332" s="1" t="str">
        <x:v>Juanito Delos Santos</x:v>
      </x:c>
      <x:c r="C332" s="1" t="str">
        <x:v>Entry</x:v>
      </x:c>
      <x:c r="D332" s="1" t="str">
        <x:v>Standard</x:v>
      </x:c>
      <x:c r="E332" s="1" t="str">
        <x:v>GRANTED</x:v>
      </x:c>
      <x:c r="F332" s="11" t="n">
        <x:v>12.1086</x:v>
      </x:c>
      <x:c r="G332" s="11" t="n">
        <x:v>3795.3427</x:v>
      </x:c>
      <x:c r="H332" s="11" t="n">
        <x:v>40.6072</x:v>
      </x:c>
      <x:c r="I332" s="11" t="str">
        <x:v>N/A (Bypassed)</x:v>
      </x:c>
      <x:c r="J332" s="11" t="str">
        <x:v>N/A (Bypassed)</x:v>
      </x:c>
      <x:c r="K332" s="11" t="n">
        <x:v>3795.3427</x:v>
      </x:c>
      <x:c r="L332" s="11" t="n">
        <x:v>52.7158</x:v>
      </x:c>
      <x:c r="M332" s="11" t="n">
        <x:v>43.5288</x:v>
      </x:c>
      <x:c r="N332" s="1" t="str">
        <x:v>6898be28591c4e1abe73f83f56b307e4</x:v>
      </x:c>
      <x:c r="O332" s="1" t="str">
        <x:v>Admin Office - 1</x:v>
      </x:c>
      <x:c r="P332" s="1" t="n">
        <x:v>2</x:v>
      </x:c>
      <x:c r="Q332" s="1" t="str">
        <x:v>standard_mode_logs</x:v>
      </x:c>
      <x:c r="R332" s="1" t="n">
        <x:v>16</x:v>
      </x:c>
      <x:c r="S332" s="1" t="str">
        <x:v>Successful entry</x:v>
      </x:c>
      <x:c r="T332" s="1" t="n">
        <x:v>2</x:v>
      </x:c>
      <x:c r="U332" s="5" t="str"/>
      <x:c r="V332" s="1" t="n">
        <x:v>1</x:v>
      </x:c>
      <x:c r="W332" s="1" t="n">
        <x:v>1</x:v>
      </x:c>
      <x:c r="X332" s="1" t="str">
        <x:v>GRANTED</x:v>
      </x:c>
      <x:c r="Y332" s="1" t="n">
        <x:f>IF(V332=1,IF(E332="GRANTED",IF(X332="GRANTED",1,0),IF(X332="DENIED",1,0)),0)</x:f>
        <x:v>1</x:v>
      </x:c>
    </x:row>
    <x:row r="333" ht="23" customHeight="1">
      <x:c r="A333" s="9" t="n">
        <x:v>46247.44563043982</x:v>
      </x:c>
      <x:c r="B333" s="1" t="str">
        <x:v>[TEMP] Manuel Mendoza</x:v>
      </x:c>
      <x:c r="C333" s="1" t="str">
        <x:v>Entry</x:v>
      </x:c>
      <x:c r="D333" s="1" t="str">
        <x:v>Standard</x:v>
      </x:c>
      <x:c r="E333" s="1" t="str">
        <x:v>GRANTED</x:v>
      </x:c>
      <x:c r="F333" s="11" t="n">
        <x:v>11.0271</x:v>
      </x:c>
      <x:c r="G333" s="11" t="n">
        <x:v>2310.1222</x:v>
      </x:c>
      <x:c r="H333" s="11" t="n">
        <x:v>88.9534</x:v>
      </x:c>
      <x:c r="I333" s="11" t="str">
        <x:v>N/A (Bypassed)</x:v>
      </x:c>
      <x:c r="J333" s="11" t="str">
        <x:v>N/A (Bypassed)</x:v>
      </x:c>
      <x:c r="K333" s="11" t="n">
        <x:v>2310.1222</x:v>
      </x:c>
      <x:c r="L333" s="11" t="n">
        <x:v>99.9805</x:v>
      </x:c>
      <x:c r="M333" s="11" t="n">
        <x:v>92.9367</x:v>
      </x:c>
      <x:c r="N333" s="1" t="str">
        <x:v>6898be28591c4e1abe73f83f56b307e4</x:v>
      </x:c>
      <x:c r="O333" s="1" t="str">
        <x:v>Admin Office - 1</x:v>
      </x:c>
      <x:c r="P333" s="1" t="n">
        <x:v>2</x:v>
      </x:c>
      <x:c r="Q333" s="1" t="str">
        <x:v>standard_mode_logs</x:v>
      </x:c>
      <x:c r="R333" s="1" t="n">
        <x:v>17</x:v>
      </x:c>
      <x:c r="S333" s="1" t="str">
        <x:v>Successful entry</x:v>
      </x:c>
      <x:c r="T333" s="1" t="n">
        <x:v>2</x:v>
      </x:c>
      <x:c r="U333" s="5" t="str"/>
      <x:c r="V333" s="1" t="n">
        <x:v>1</x:v>
      </x:c>
      <x:c r="W333" s="1" t="n">
        <x:v>1</x:v>
      </x:c>
      <x:c r="X333" s="1" t="str">
        <x:v>GRANTED</x:v>
      </x:c>
      <x:c r="Y333" s="1" t="n">
        <x:f>IF(V333=1,IF(E333="GRANTED",IF(X333="GRANTED",1,0),IF(X333="DENIED",1,0)),0)</x:f>
        <x:v>1</x:v>
      </x:c>
    </x:row>
    <x:row r="334" ht="23" customHeight="1">
      <x:c r="A334" s="9" t="n">
        <x:v>46247.44555417824</x:v>
      </x:c>
      <x:c r="B334" s="1" t="str">
        <x:v>Francisco Garcia</x:v>
      </x:c>
      <x:c r="C334" s="1" t="str">
        <x:v>Entry</x:v>
      </x:c>
      <x:c r="D334" s="1" t="str">
        <x:v>Standard</x:v>
      </x:c>
      <x:c r="E334" s="1" t="str">
        <x:v>GRANTED</x:v>
      </x:c>
      <x:c r="F334" s="11" t="n">
        <x:v>11.51</x:v>
      </x:c>
      <x:c r="G334" s="11" t="n">
        <x:v>2308.6351</x:v>
      </x:c>
      <x:c r="H334" s="11" t="n">
        <x:v>38.3856</x:v>
      </x:c>
      <x:c r="I334" s="11" t="str">
        <x:v>N/A (Bypassed)</x:v>
      </x:c>
      <x:c r="J334" s="11" t="str">
        <x:v>N/A (Bypassed)</x:v>
      </x:c>
      <x:c r="K334" s="11" t="n">
        <x:v>2308.6351</x:v>
      </x:c>
      <x:c r="L334" s="11" t="n">
        <x:v>49.8956</x:v>
      </x:c>
      <x:c r="M334" s="11" t="n">
        <x:v>41.9104</x:v>
      </x:c>
      <x:c r="N334" s="1" t="str">
        <x:v>6898be28591c4e1abe73f83f56b307e4</x:v>
      </x:c>
      <x:c r="O334" s="1" t="str">
        <x:v>Admin Office - 1</x:v>
      </x:c>
      <x:c r="P334" s="1" t="n">
        <x:v>2</x:v>
      </x:c>
      <x:c r="Q334" s="1" t="str">
        <x:v>standard_mode_logs</x:v>
      </x:c>
      <x:c r="R334" s="1" t="n">
        <x:v>18</x:v>
      </x:c>
      <x:c r="S334" s="1" t="str">
        <x:v>Successful entry</x:v>
      </x:c>
      <x:c r="T334" s="1" t="n">
        <x:v>2</x:v>
      </x:c>
      <x:c r="U334" s="5" t="str"/>
      <x:c r="V334" s="1" t="n">
        <x:v>1</x:v>
      </x:c>
      <x:c r="W334" s="1" t="n">
        <x:v>1</x:v>
      </x:c>
      <x:c r="X334" s="1" t="str">
        <x:v>GRANTED</x:v>
      </x:c>
      <x:c r="Y334" s="1" t="n">
        <x:f>IF(V334=1,IF(E334="GRANTED",IF(X334="GRANTED",1,0),IF(X334="DENIED",1,0)),0)</x:f>
        <x:v>1</x:v>
      </x:c>
    </x:row>
    <x:row r="335" ht="23" customHeight="1">
      <x:c r="A335" s="9" t="n">
        <x:v>46247.445483055555</x:v>
      </x:c>
      <x:c r="B335" s="1" t="str">
        <x:v>[TEMP] Pedro Reyes</x:v>
      </x:c>
      <x:c r="C335" s="1" t="str">
        <x:v>Entry</x:v>
      </x:c>
      <x:c r="D335" s="1" t="str">
        <x:v>Standard</x:v>
      </x:c>
      <x:c r="E335" s="1" t="str">
        <x:v>GRANTED</x:v>
      </x:c>
      <x:c r="F335" s="11" t="n">
        <x:v>11.8727</x:v>
      </x:c>
      <x:c r="G335" s="11" t="n">
        <x:v>1429.606</x:v>
      </x:c>
      <x:c r="H335" s="11" t="n">
        <x:v>37.386</x:v>
      </x:c>
      <x:c r="I335" s="11" t="str">
        <x:v>N/A (Bypassed)</x:v>
      </x:c>
      <x:c r="J335" s="11" t="str">
        <x:v>N/A (Bypassed)</x:v>
      </x:c>
      <x:c r="K335" s="11" t="n">
        <x:v>1429.606</x:v>
      </x:c>
      <x:c r="L335" s="11" t="n">
        <x:v>49.2587</x:v>
      </x:c>
      <x:c r="M335" s="11" t="n">
        <x:v>40.4905</x:v>
      </x:c>
      <x:c r="N335" s="1" t="str">
        <x:v>6898be28591c4e1abe73f83f56b307e4</x:v>
      </x:c>
      <x:c r="O335" s="1" t="str">
        <x:v>Admin Office - 1</x:v>
      </x:c>
      <x:c r="P335" s="1" t="n">
        <x:v>2</x:v>
      </x:c>
      <x:c r="Q335" s="1" t="str">
        <x:v>standard_mode_logs</x:v>
      </x:c>
      <x:c r="R335" s="1" t="n">
        <x:v>19</x:v>
      </x:c>
      <x:c r="S335" s="1" t="str">
        <x:v>Successful entry</x:v>
      </x:c>
      <x:c r="T335" s="1" t="n">
        <x:v>2</x:v>
      </x:c>
      <x:c r="U335" s="5" t="str"/>
      <x:c r="V335" s="1" t="n">
        <x:v>1</x:v>
      </x:c>
      <x:c r="W335" s="1" t="n">
        <x:v>1</x:v>
      </x:c>
      <x:c r="X335" s="1" t="str">
        <x:v>GRANTED</x:v>
      </x:c>
      <x:c r="Y335" s="1" t="n">
        <x:f>IF(V335=1,IF(E335="GRANTED",IF(X335="GRANTED",1,0),IF(X335="DENIED",1,0)),0)</x:f>
        <x:v>1</x:v>
      </x:c>
    </x:row>
    <x:row r="336" ht="23" customHeight="1">
      <x:c r="A336" s="9" t="n">
        <x:v>46247.445410925924</x:v>
      </x:c>
      <x:c r="B336" s="1" t="str">
        <x:v>[TEMP] Jose Santos</x:v>
      </x:c>
      <x:c r="C336" s="1" t="str">
        <x:v>Entry</x:v>
      </x:c>
      <x:c r="D336" s="1" t="str">
        <x:v>Standard</x:v>
      </x:c>
      <x:c r="E336" s="1" t="str">
        <x:v>GRANTED</x:v>
      </x:c>
      <x:c r="F336" s="11" t="n">
        <x:v>9.734</x:v>
      </x:c>
      <x:c r="G336" s="11" t="n">
        <x:v>1869.6682</x:v>
      </x:c>
      <x:c r="H336" s="11" t="n">
        <x:v>39.5285</x:v>
      </x:c>
      <x:c r="I336" s="11" t="str">
        <x:v>N/A (Bypassed)</x:v>
      </x:c>
      <x:c r="J336" s="11" t="str">
        <x:v>N/A (Bypassed)</x:v>
      </x:c>
      <x:c r="K336" s="11" t="n">
        <x:v>1869.6682</x:v>
      </x:c>
      <x:c r="L336" s="11" t="n">
        <x:v>49.2625</x:v>
      </x:c>
      <x:c r="M336" s="11" t="n">
        <x:v>42.2812</x:v>
      </x:c>
      <x:c r="N336" s="1" t="str">
        <x:v>6898be28591c4e1abe73f83f56b307e4</x:v>
      </x:c>
      <x:c r="O336" s="1" t="str">
        <x:v>Admin Office - 1</x:v>
      </x:c>
      <x:c r="P336" s="1" t="n">
        <x:v>2</x:v>
      </x:c>
      <x:c r="Q336" s="1" t="str">
        <x:v>standard_mode_logs</x:v>
      </x:c>
      <x:c r="R336" s="1" t="n">
        <x:v>20</x:v>
      </x:c>
      <x:c r="S336" s="1" t="str">
        <x:v>Successful entry</x:v>
      </x:c>
      <x:c r="T336" s="1" t="n">
        <x:v>2</x:v>
      </x:c>
      <x:c r="U336" s="5" t="str"/>
      <x:c r="V336" s="1" t="n">
        <x:v>1</x:v>
      </x:c>
      <x:c r="W336" s="1" t="n">
        <x:v>1</x:v>
      </x:c>
      <x:c r="X336" s="1" t="str">
        <x:v>GRANTED</x:v>
      </x:c>
      <x:c r="Y336" s="1" t="n">
        <x:f>IF(V336=1,IF(E336="GRANTED",IF(X336="GRANTED",1,0),IF(X336="DENIED",1,0)),0)</x:f>
        <x:v>1</x:v>
      </x:c>
    </x:row>
    <x:row r="337" ht="23" customHeight="1">
      <x:c r="A337" s="9" t="n">
        <x:v>46247.44533533565</x:v>
      </x:c>
      <x:c r="B337" s="1" t="str">
        <x:v>[TEMP] Juan Dela Cruz</x:v>
      </x:c>
      <x:c r="C337" s="1" t="str">
        <x:v>Entry</x:v>
      </x:c>
      <x:c r="D337" s="1" t="str">
        <x:v>Standard</x:v>
      </x:c>
      <x:c r="E337" s="1" t="str">
        <x:v>GRANTED</x:v>
      </x:c>
      <x:c r="F337" s="11" t="n">
        <x:v>8.4209</x:v>
      </x:c>
      <x:c r="G337" s="11" t="n">
        <x:v>3024.2967</x:v>
      </x:c>
      <x:c r="H337" s="11" t="n">
        <x:v>38.8282</x:v>
      </x:c>
      <x:c r="I337" s="11" t="str">
        <x:v>N/A (Bypassed)</x:v>
      </x:c>
      <x:c r="J337" s="11" t="str">
        <x:v>N/A (Bypassed)</x:v>
      </x:c>
      <x:c r="K337" s="11" t="n">
        <x:v>3024.2967</x:v>
      </x:c>
      <x:c r="L337" s="11" t="n">
        <x:v>47.2491</x:v>
      </x:c>
      <x:c r="M337" s="11" t="n">
        <x:v>39.5323</x:v>
      </x:c>
      <x:c r="N337" s="1" t="str">
        <x:v>6898be28591c4e1abe73f83f56b307e4</x:v>
      </x:c>
      <x:c r="O337" s="1" t="str">
        <x:v>Admin Office - 1</x:v>
      </x:c>
      <x:c r="P337" s="1" t="n">
        <x:v>2</x:v>
      </x:c>
      <x:c r="Q337" s="1" t="str">
        <x:v>standard_mode_logs</x:v>
      </x:c>
      <x:c r="R337" s="1" t="n">
        <x:v>21</x:v>
      </x:c>
      <x:c r="S337" s="1" t="str">
        <x:v>Successful entry</x:v>
      </x:c>
      <x:c r="T337" s="1" t="n">
        <x:v>2</x:v>
      </x:c>
      <x:c r="U337" s="5" t="str"/>
      <x:c r="V337" s="1" t="n">
        <x:v>1</x:v>
      </x:c>
      <x:c r="W337" s="1" t="n">
        <x:v>1</x:v>
      </x:c>
      <x:c r="X337" s="1" t="str">
        <x:v>GRANTED</x:v>
      </x:c>
      <x:c r="Y337" s="1" t="n">
        <x:f>IF(V337=1,IF(E337="GRANTED",IF(X337="GRANTED",1,0),IF(X337="DENIED",1,0)),0)</x:f>
        <x:v>1</x:v>
      </x:c>
    </x:row>
    <x:row r="338" ht="23" customHeight="1">
      <x:c r="A338" s="9" t="n">
        <x:v>46247.445024201385</x:v>
      </x:c>
      <x:c r="B338" s="1" t="str">
        <x:v>Pedro Penduko</x:v>
      </x:c>
      <x:c r="C338" s="1" t="str">
        <x:v>Exit</x:v>
      </x:c>
      <x:c r="D338" s="1" t="str">
        <x:v>Standard</x:v>
      </x:c>
      <x:c r="E338" s="1" t="str">
        <x:v>GRANTED</x:v>
      </x:c>
      <x:c r="F338" s="11" t="n">
        <x:v>12.1317</x:v>
      </x:c>
      <x:c r="G338" s="11" t="str">
        <x:v>N/A (Bypassed)</x:v>
      </x:c>
      <x:c r="H338" s="11" t="str">
        <x:v>N/A (Bypassed)</x:v>
      </x:c>
      <x:c r="I338" s="11" t="str">
        <x:v>N/A (Bypassed)</x:v>
      </x:c>
      <x:c r="J338" s="11" t="str">
        <x:v>N/A (Bypassed)</x:v>
      </x:c>
      <x:c r="K338" s="11" t="str">
        <x:v>N/A</x:v>
      </x:c>
      <x:c r="L338" s="11" t="n">
        <x:v>12.1317</x:v>
      </x:c>
      <x:c r="M338" s="11" t="n">
        <x:v>3.1479</x:v>
      </x:c>
      <x:c r="N338" s="1" t="str">
        <x:v>6898be28591c4e1abe73f83f56b307e4</x:v>
      </x:c>
      <x:c r="O338" s="1" t="str">
        <x:v>Admin Office - 1</x:v>
      </x:c>
      <x:c r="P338" s="1" t="n">
        <x:v>2</x:v>
      </x:c>
      <x:c r="Q338" s="1" t="str">
        <x:v>standard_mode_logs</x:v>
      </x:c>
      <x:c r="R338" s="1" t="n">
        <x:v>22</x:v>
      </x:c>
      <x:c r="S338" s="1" t="str">
        <x:v>Reset exit</x:v>
      </x:c>
      <x:c r="T338" s="1"/>
      <x:c r="U338" s="5" t="str"/>
      <x:c r="V338" s="1" t="n">
        <x:v>0</x:v>
      </x:c>
      <x:c r="W338" s="1" t="n">
        <x:v>0</x:v>
      </x:c>
      <x:c r="X338" s="1" t="str">
        <x:v>Not applicable</x:v>
      </x:c>
      <x:c r="Y338" s="1" t="n">
        <x:f>IF(V338=1,IF(E338="GRANTED",IF(X338="GRANTED",1,0),IF(X338="DENIED",1,0)),0)</x:f>
        <x:v>0</x:v>
      </x:c>
    </x:row>
    <x:row r="339" ht="23" customHeight="1">
      <x:c r="A339" s="9" t="n">
        <x:v>46247.44500125</x:v>
      </x:c>
      <x:c r="B339" s="1" t="str">
        <x:v>Juan Tamad</x:v>
      </x:c>
      <x:c r="C339" s="1" t="str">
        <x:v>Exit</x:v>
      </x:c>
      <x:c r="D339" s="1" t="str">
        <x:v>Standard</x:v>
      </x:c>
      <x:c r="E339" s="1" t="str">
        <x:v>GRANTED</x:v>
      </x:c>
      <x:c r="F339" s="11" t="n">
        <x:v>10.9979</x:v>
      </x:c>
      <x:c r="G339" s="11" t="str">
        <x:v>N/A (Bypassed)</x:v>
      </x:c>
      <x:c r="H339" s="11" t="str">
        <x:v>N/A (Bypassed)</x:v>
      </x:c>
      <x:c r="I339" s="11" t="str">
        <x:v>N/A (Bypassed)</x:v>
      </x:c>
      <x:c r="J339" s="11" t="str">
        <x:v>N/A (Bypassed)</x:v>
      </x:c>
      <x:c r="K339" s="11" t="str">
        <x:v>N/A</x:v>
      </x:c>
      <x:c r="L339" s="11" t="n">
        <x:v>10.9979</x:v>
      </x:c>
      <x:c r="M339" s="11" t="n">
        <x:v>2.5883</x:v>
      </x:c>
      <x:c r="N339" s="1" t="str">
        <x:v>6898be28591c4e1abe73f83f56b307e4</x:v>
      </x:c>
      <x:c r="O339" s="1" t="str">
        <x:v>Admin Office - 1</x:v>
      </x:c>
      <x:c r="P339" s="1" t="n">
        <x:v>2</x:v>
      </x:c>
      <x:c r="Q339" s="1" t="str">
        <x:v>standard_mode_logs</x:v>
      </x:c>
      <x:c r="R339" s="1" t="n">
        <x:v>23</x:v>
      </x:c>
      <x:c r="S339" s="1" t="str">
        <x:v>Reset exit</x:v>
      </x:c>
      <x:c r="T339" s="1"/>
      <x:c r="U339" s="5" t="str"/>
      <x:c r="V339" s="1" t="n">
        <x:v>0</x:v>
      </x:c>
      <x:c r="W339" s="1" t="n">
        <x:v>0</x:v>
      </x:c>
      <x:c r="X339" s="1" t="str">
        <x:v>Not applicable</x:v>
      </x:c>
      <x:c r="Y339" s="1" t="n">
        <x:f>IF(V339=1,IF(E339="GRANTED",IF(X339="GRANTED",1,0),IF(X339="DENIED",1,0)),0)</x:f>
        <x:v>0</x:v>
      </x:c>
    </x:row>
    <x:row r="340" ht="23" customHeight="1">
      <x:c r="A340" s="9" t="n">
        <x:v>46247.44498075232</x:v>
      </x:c>
      <x:c r="B340" s="1" t="str">
        <x:v>Luningning Santos</x:v>
      </x:c>
      <x:c r="C340" s="1" t="str">
        <x:v>Exit</x:v>
      </x:c>
      <x:c r="D340" s="1" t="str">
        <x:v>Standard</x:v>
      </x:c>
      <x:c r="E340" s="1" t="str">
        <x:v>GRANTED</x:v>
      </x:c>
      <x:c r="F340" s="11" t="n">
        <x:v>12.1926</x:v>
      </x:c>
      <x:c r="G340" s="11" t="str">
        <x:v>N/A (Bypassed)</x:v>
      </x:c>
      <x:c r="H340" s="11" t="str">
        <x:v>N/A (Bypassed)</x:v>
      </x:c>
      <x:c r="I340" s="11" t="str">
        <x:v>N/A (Bypassed)</x:v>
      </x:c>
      <x:c r="J340" s="11" t="str">
        <x:v>N/A (Bypassed)</x:v>
      </x:c>
      <x:c r="K340" s="11" t="str">
        <x:v>N/A</x:v>
      </x:c>
      <x:c r="L340" s="11" t="n">
        <x:v>12.1926</x:v>
      </x:c>
      <x:c r="M340" s="11" t="n">
        <x:v>2.8141</x:v>
      </x:c>
      <x:c r="N340" s="1" t="str">
        <x:v>6898be28591c4e1abe73f83f56b307e4</x:v>
      </x:c>
      <x:c r="O340" s="1" t="str">
        <x:v>Admin Office - 1</x:v>
      </x:c>
      <x:c r="P340" s="1" t="n">
        <x:v>2</x:v>
      </x:c>
      <x:c r="Q340" s="1" t="str">
        <x:v>standard_mode_logs</x:v>
      </x:c>
      <x:c r="R340" s="1" t="n">
        <x:v>24</x:v>
      </x:c>
      <x:c r="S340" s="1" t="str">
        <x:v>Reset exit</x:v>
      </x:c>
      <x:c r="T340" s="1"/>
      <x:c r="U340" s="5" t="str"/>
      <x:c r="V340" s="1" t="n">
        <x:v>0</x:v>
      </x:c>
      <x:c r="W340" s="1" t="n">
        <x:v>0</x:v>
      </x:c>
      <x:c r="X340" s="1" t="str">
        <x:v>Not applicable</x:v>
      </x:c>
      <x:c r="Y340" s="1" t="n">
        <x:f>IF(V340=1,IF(E340="GRANTED",IF(X340="GRANTED",1,0),IF(X340="DENIED",1,0)),0)</x:f>
        <x:v>0</x:v>
      </x:c>
    </x:row>
    <x:row r="341" ht="23" customHeight="1">
      <x:c r="A341" s="9" t="n">
        <x:v>46247.44495931713</x:v>
      </x:c>
      <x:c r="B341" s="1" t="str">
        <x:v>Teresita Gonzales</x:v>
      </x:c>
      <x:c r="C341" s="1" t="str">
        <x:v>Exit</x:v>
      </x:c>
      <x:c r="D341" s="1" t="str">
        <x:v>Standard</x:v>
      </x:c>
      <x:c r="E341" s="1" t="str">
        <x:v>GRANTED</x:v>
      </x:c>
      <x:c r="F341" s="11" t="n">
        <x:v>12.3231</x:v>
      </x:c>
      <x:c r="G341" s="11" t="str">
        <x:v>N/A (Bypassed)</x:v>
      </x:c>
      <x:c r="H341" s="11" t="str">
        <x:v>N/A (Bypassed)</x:v>
      </x:c>
      <x:c r="I341" s="11" t="str">
        <x:v>N/A (Bypassed)</x:v>
      </x:c>
      <x:c r="J341" s="11" t="str">
        <x:v>N/A (Bypassed)</x:v>
      </x:c>
      <x:c r="K341" s="11" t="str">
        <x:v>N/A</x:v>
      </x:c>
      <x:c r="L341" s="11" t="n">
        <x:v>12.3231</x:v>
      </x:c>
      <x:c r="M341" s="11" t="n">
        <x:v>4.8434</x:v>
      </x:c>
      <x:c r="N341" s="1" t="str">
        <x:v>6898be28591c4e1abe73f83f56b307e4</x:v>
      </x:c>
      <x:c r="O341" s="1" t="str">
        <x:v>Admin Office - 1</x:v>
      </x:c>
      <x:c r="P341" s="1" t="n">
        <x:v>2</x:v>
      </x:c>
      <x:c r="Q341" s="1" t="str">
        <x:v>standard_mode_logs</x:v>
      </x:c>
      <x:c r="R341" s="1" t="n">
        <x:v>25</x:v>
      </x:c>
      <x:c r="S341" s="1" t="str">
        <x:v>Reset exit</x:v>
      </x:c>
      <x:c r="T341" s="1"/>
      <x:c r="U341" s="5" t="str"/>
      <x:c r="V341" s="1" t="n">
        <x:v>0</x:v>
      </x:c>
      <x:c r="W341" s="1" t="n">
        <x:v>0</x:v>
      </x:c>
      <x:c r="X341" s="1" t="str">
        <x:v>Not applicable</x:v>
      </x:c>
      <x:c r="Y341" s="1" t="n">
        <x:f>IF(V341=1,IF(E341="GRANTED",IF(X341="GRANTED",1,0),IF(X341="DENIED",1,0)),0)</x:f>
        <x:v>0</x:v>
      </x:c>
    </x:row>
    <x:row r="342" ht="23" customHeight="1">
      <x:c r="A342" s="9" t="n">
        <x:v>46247.44493753472</x:v>
      </x:c>
      <x:c r="B342" s="1" t="str">
        <x:v>Ana Delos Reyes</x:v>
      </x:c>
      <x:c r="C342" s="1" t="str">
        <x:v>Exit</x:v>
      </x:c>
      <x:c r="D342" s="1" t="str">
        <x:v>Standard</x:v>
      </x:c>
      <x:c r="E342" s="1" t="str">
        <x:v>GRANTED</x:v>
      </x:c>
      <x:c r="F342" s="11" t="n">
        <x:v>11.7658</x:v>
      </x:c>
      <x:c r="G342" s="11" t="str">
        <x:v>N/A (Bypassed)</x:v>
      </x:c>
      <x:c r="H342" s="11" t="str">
        <x:v>N/A (Bypassed)</x:v>
      </x:c>
      <x:c r="I342" s="11" t="str">
        <x:v>N/A (Bypassed)</x:v>
      </x:c>
      <x:c r="J342" s="11" t="str">
        <x:v>N/A (Bypassed)</x:v>
      </x:c>
      <x:c r="K342" s="11" t="str">
        <x:v>N/A</x:v>
      </x:c>
      <x:c r="L342" s="11" t="n">
        <x:v>11.7658</x:v>
      </x:c>
      <x:c r="M342" s="11" t="n">
        <x:v>4.1303</x:v>
      </x:c>
      <x:c r="N342" s="1" t="str">
        <x:v>6898be28591c4e1abe73f83f56b307e4</x:v>
      </x:c>
      <x:c r="O342" s="1" t="str">
        <x:v>Admin Office - 1</x:v>
      </x:c>
      <x:c r="P342" s="1" t="n">
        <x:v>2</x:v>
      </x:c>
      <x:c r="Q342" s="1" t="str">
        <x:v>standard_mode_logs</x:v>
      </x:c>
      <x:c r="R342" s="1" t="n">
        <x:v>26</x:v>
      </x:c>
      <x:c r="S342" s="1" t="str">
        <x:v>Reset exit</x:v>
      </x:c>
      <x:c r="T342" s="1"/>
      <x:c r="U342" s="5" t="str"/>
      <x:c r="V342" s="1" t="n">
        <x:v>0</x:v>
      </x:c>
      <x:c r="W342" s="1" t="n">
        <x:v>0</x:v>
      </x:c>
      <x:c r="X342" s="1" t="str">
        <x:v>Not applicable</x:v>
      </x:c>
      <x:c r="Y342" s="1" t="n">
        <x:f>IF(V342=1,IF(E342="GRANTED",IF(X342="GRANTED",1,0),IF(X342="DENIED",1,0)),0)</x:f>
        <x:v>0</x:v>
      </x:c>
    </x:row>
    <x:row r="343" ht="23" customHeight="1">
      <x:c r="A343" s="9" t="n">
        <x:v>46247.44491569445</x:v>
      </x:c>
      <x:c r="B343" s="1" t="str">
        <x:v>Maria Santos</x:v>
      </x:c>
      <x:c r="C343" s="1" t="str">
        <x:v>Exit</x:v>
      </x:c>
      <x:c r="D343" s="1" t="str">
        <x:v>Standard</x:v>
      </x:c>
      <x:c r="E343" s="1" t="str">
        <x:v>GRANTED</x:v>
      </x:c>
      <x:c r="F343" s="11" t="n">
        <x:v>7.6132</x:v>
      </x:c>
      <x:c r="G343" s="11" t="str">
        <x:v>N/A (Bypassed)</x:v>
      </x:c>
      <x:c r="H343" s="11" t="str">
        <x:v>N/A (Bypassed)</x:v>
      </x:c>
      <x:c r="I343" s="11" t="str">
        <x:v>N/A (Bypassed)</x:v>
      </x:c>
      <x:c r="J343" s="11" t="str">
        <x:v>N/A (Bypassed)</x:v>
      </x:c>
      <x:c r="K343" s="11" t="str">
        <x:v>N/A</x:v>
      </x:c>
      <x:c r="L343" s="11" t="n">
        <x:v>7.6132</x:v>
      </x:c>
      <x:c r="M343" s="11" t="n">
        <x:v>0.5794</x:v>
      </x:c>
      <x:c r="N343" s="1" t="str">
        <x:v>6898be28591c4e1abe73f83f56b307e4</x:v>
      </x:c>
      <x:c r="O343" s="1" t="str">
        <x:v>Admin Office - 1</x:v>
      </x:c>
      <x:c r="P343" s="1" t="n">
        <x:v>2</x:v>
      </x:c>
      <x:c r="Q343" s="1" t="str">
        <x:v>standard_mode_logs</x:v>
      </x:c>
      <x:c r="R343" s="1" t="n">
        <x:v>27</x:v>
      </x:c>
      <x:c r="S343" s="1" t="str">
        <x:v>Reset exit</x:v>
      </x:c>
      <x:c r="T343" s="1"/>
      <x:c r="U343" s="5" t="str"/>
      <x:c r="V343" s="1" t="n">
        <x:v>0</x:v>
      </x:c>
      <x:c r="W343" s="1" t="n">
        <x:v>0</x:v>
      </x:c>
      <x:c r="X343" s="1" t="str">
        <x:v>Not applicable</x:v>
      </x:c>
      <x:c r="Y343" s="1" t="n">
        <x:f>IF(V343=1,IF(E343="GRANTED",IF(X343="GRANTED",1,0),IF(X343="DENIED",1,0)),0)</x:f>
        <x:v>0</x:v>
      </x:c>
    </x:row>
    <x:row r="344" ht="23" customHeight="1">
      <x:c r="A344" s="9" t="n">
        <x:v>46247.44488530092</x:v>
      </x:c>
      <x:c r="B344" s="1" t="str">
        <x:v>Maria Clara</x:v>
      </x:c>
      <x:c r="C344" s="1" t="str">
        <x:v>Exit</x:v>
      </x:c>
      <x:c r="D344" s="1" t="str">
        <x:v>Standard</x:v>
      </x:c>
      <x:c r="E344" s="1" t="str">
        <x:v>GRANTED</x:v>
      </x:c>
      <x:c r="F344" s="11" t="n">
        <x:v>11.6859</x:v>
      </x:c>
      <x:c r="G344" s="11" t="str">
        <x:v>N/A (Bypassed)</x:v>
      </x:c>
      <x:c r="H344" s="11" t="str">
        <x:v>N/A (Bypassed)</x:v>
      </x:c>
      <x:c r="I344" s="11" t="str">
        <x:v>N/A (Bypassed)</x:v>
      </x:c>
      <x:c r="J344" s="11" t="str">
        <x:v>N/A (Bypassed)</x:v>
      </x:c>
      <x:c r="K344" s="11" t="str">
        <x:v>N/A</x:v>
      </x:c>
      <x:c r="L344" s="11" t="n">
        <x:v>11.6859</x:v>
      </x:c>
      <x:c r="M344" s="11" t="n">
        <x:v>4.0952</x:v>
      </x:c>
      <x:c r="N344" s="1" t="str">
        <x:v>6898be28591c4e1abe73f83f56b307e4</x:v>
      </x:c>
      <x:c r="O344" s="1" t="str">
        <x:v>Admin Office - 1</x:v>
      </x:c>
      <x:c r="P344" s="1" t="n">
        <x:v>2</x:v>
      </x:c>
      <x:c r="Q344" s="1" t="str">
        <x:v>standard_mode_logs</x:v>
      </x:c>
      <x:c r="R344" s="1" t="n">
        <x:v>28</x:v>
      </x:c>
      <x:c r="S344" s="1" t="str">
        <x:v>Reset exit</x:v>
      </x:c>
      <x:c r="T344" s="1"/>
      <x:c r="U344" s="5" t="str"/>
      <x:c r="V344" s="1" t="n">
        <x:v>0</x:v>
      </x:c>
      <x:c r="W344" s="1" t="n">
        <x:v>0</x:v>
      </x:c>
      <x:c r="X344" s="1" t="str">
        <x:v>Not applicable</x:v>
      </x:c>
      <x:c r="Y344" s="1" t="n">
        <x:f>IF(V344=1,IF(E344="GRANTED",IF(X344="GRANTED",1,0),IF(X344="DENIED",1,0)),0)</x:f>
        <x:v>0</x:v>
      </x:c>
    </x:row>
    <x:row r="345" ht="23" customHeight="1">
      <x:c r="A345" s="9" t="n">
        <x:v>46247.44486094908</x:v>
      </x:c>
      <x:c r="B345" s="1" t="str">
        <x:v>Juana Dela Cruz</x:v>
      </x:c>
      <x:c r="C345" s="1" t="str">
        <x:v>Exit</x:v>
      </x:c>
      <x:c r="D345" s="1" t="str">
        <x:v>Standard</x:v>
      </x:c>
      <x:c r="E345" s="1" t="str">
        <x:v>GRANTED</x:v>
      </x:c>
      <x:c r="F345" s="11" t="n">
        <x:v>10.4283</x:v>
      </x:c>
      <x:c r="G345" s="11" t="str">
        <x:v>N/A (Bypassed)</x:v>
      </x:c>
      <x:c r="H345" s="11" t="str">
        <x:v>N/A (Bypassed)</x:v>
      </x:c>
      <x:c r="I345" s="11" t="str">
        <x:v>N/A (Bypassed)</x:v>
      </x:c>
      <x:c r="J345" s="11" t="str">
        <x:v>N/A (Bypassed)</x:v>
      </x:c>
      <x:c r="K345" s="11" t="str">
        <x:v>N/A</x:v>
      </x:c>
      <x:c r="L345" s="11" t="n">
        <x:v>10.4283</x:v>
      </x:c>
      <x:c r="M345" s="11" t="n">
        <x:v>2.6267</x:v>
      </x:c>
      <x:c r="N345" s="1" t="str">
        <x:v>6898be28591c4e1abe73f83f56b307e4</x:v>
      </x:c>
      <x:c r="O345" s="1" t="str">
        <x:v>Admin Office - 1</x:v>
      </x:c>
      <x:c r="P345" s="1" t="n">
        <x:v>2</x:v>
      </x:c>
      <x:c r="Q345" s="1" t="str">
        <x:v>standard_mode_logs</x:v>
      </x:c>
      <x:c r="R345" s="1" t="n">
        <x:v>29</x:v>
      </x:c>
      <x:c r="S345" s="1" t="str">
        <x:v>Reset exit</x:v>
      </x:c>
      <x:c r="T345" s="1"/>
      <x:c r="U345" s="5" t="str"/>
      <x:c r="V345" s="1" t="n">
        <x:v>0</x:v>
      </x:c>
      <x:c r="W345" s="1" t="n">
        <x:v>0</x:v>
      </x:c>
      <x:c r="X345" s="1" t="str">
        <x:v>Not applicable</x:v>
      </x:c>
      <x:c r="Y345" s="1" t="n">
        <x:f>IF(V345=1,IF(E345="GRANTED",IF(X345="GRANTED",1,0),IF(X345="DENIED",1,0)),0)</x:f>
        <x:v>0</x:v>
      </x:c>
    </x:row>
    <x:row r="346" ht="23" customHeight="1">
      <x:c r="A346" s="9" t="n">
        <x:v>46247.444830381944</x:v>
      </x:c>
      <x:c r="B346" s="1" t="str">
        <x:v>Maria Dela Cruz</x:v>
      </x:c>
      <x:c r="C346" s="1" t="str">
        <x:v>Exit</x:v>
      </x:c>
      <x:c r="D346" s="1" t="str">
        <x:v>Standard</x:v>
      </x:c>
      <x:c r="E346" s="1" t="str">
        <x:v>GRANTED</x:v>
      </x:c>
      <x:c r="F346" s="11" t="n">
        <x:v>10.7456</x:v>
      </x:c>
      <x:c r="G346" s="11" t="str">
        <x:v>N/A (Bypassed)</x:v>
      </x:c>
      <x:c r="H346" s="11" t="str">
        <x:v>N/A (Bypassed)</x:v>
      </x:c>
      <x:c r="I346" s="11" t="str">
        <x:v>N/A (Bypassed)</x:v>
      </x:c>
      <x:c r="J346" s="11" t="str">
        <x:v>N/A (Bypassed)</x:v>
      </x:c>
      <x:c r="K346" s="11" t="str">
        <x:v>N/A</x:v>
      </x:c>
      <x:c r="L346" s="11" t="n">
        <x:v>10.7456</x:v>
      </x:c>
      <x:c r="M346" s="11" t="n">
        <x:v>3.0637</x:v>
      </x:c>
      <x:c r="N346" s="1" t="str">
        <x:v>6898be28591c4e1abe73f83f56b307e4</x:v>
      </x:c>
      <x:c r="O346" s="1" t="str">
        <x:v>Admin Office - 1</x:v>
      </x:c>
      <x:c r="P346" s="1" t="n">
        <x:v>2</x:v>
      </x:c>
      <x:c r="Q346" s="1" t="str">
        <x:v>standard_mode_logs</x:v>
      </x:c>
      <x:c r="R346" s="1" t="n">
        <x:v>30</x:v>
      </x:c>
      <x:c r="S346" s="1" t="str">
        <x:v>Reset exit</x:v>
      </x:c>
      <x:c r="T346" s="1"/>
      <x:c r="U346" s="5" t="str"/>
      <x:c r="V346" s="1" t="n">
        <x:v>0</x:v>
      </x:c>
      <x:c r="W346" s="1" t="n">
        <x:v>0</x:v>
      </x:c>
      <x:c r="X346" s="1" t="str">
        <x:v>Not applicable</x:v>
      </x:c>
      <x:c r="Y346" s="1" t="n">
        <x:f>IF(V346=1,IF(E346="GRANTED",IF(X346="GRANTED",1,0),IF(X346="DENIED",1,0)),0)</x:f>
        <x:v>0</x:v>
      </x:c>
    </x:row>
    <x:row r="347" ht="23" customHeight="1">
      <x:c r="A347" s="9" t="n">
        <x:v>46247.44480896991</x:v>
      </x:c>
      <x:c r="B347" s="1" t="str">
        <x:v>Basilio Magbanua</x:v>
      </x:c>
      <x:c r="C347" s="1" t="str">
        <x:v>Exit</x:v>
      </x:c>
      <x:c r="D347" s="1" t="str">
        <x:v>Standard</x:v>
      </x:c>
      <x:c r="E347" s="1" t="str">
        <x:v>GRANTED</x:v>
      </x:c>
      <x:c r="F347" s="11" t="n">
        <x:v>12.4889</x:v>
      </x:c>
      <x:c r="G347" s="11" t="str">
        <x:v>N/A (Bypassed)</x:v>
      </x:c>
      <x:c r="H347" s="11" t="str">
        <x:v>N/A (Bypassed)</x:v>
      </x:c>
      <x:c r="I347" s="11" t="str">
        <x:v>N/A (Bypassed)</x:v>
      </x:c>
      <x:c r="J347" s="11" t="str">
        <x:v>N/A (Bypassed)</x:v>
      </x:c>
      <x:c r="K347" s="11" t="str">
        <x:v>N/A</x:v>
      </x:c>
      <x:c r="L347" s="11" t="n">
        <x:v>12.4889</x:v>
      </x:c>
      <x:c r="M347" s="11" t="n">
        <x:v>3.0075</x:v>
      </x:c>
      <x:c r="N347" s="1" t="str">
        <x:v>6898be28591c4e1abe73f83f56b307e4</x:v>
      </x:c>
      <x:c r="O347" s="1" t="str">
        <x:v>Admin Office - 1</x:v>
      </x:c>
      <x:c r="P347" s="1" t="n">
        <x:v>2</x:v>
      </x:c>
      <x:c r="Q347" s="1" t="str">
        <x:v>standard_mode_logs</x:v>
      </x:c>
      <x:c r="R347" s="1" t="n">
        <x:v>31</x:v>
      </x:c>
      <x:c r="S347" s="1" t="str">
        <x:v>Reset exit</x:v>
      </x:c>
      <x:c r="T347" s="1"/>
      <x:c r="U347" s="5" t="str"/>
      <x:c r="V347" s="1" t="n">
        <x:v>0</x:v>
      </x:c>
      <x:c r="W347" s="1" t="n">
        <x:v>0</x:v>
      </x:c>
      <x:c r="X347" s="1" t="str">
        <x:v>Not applicable</x:v>
      </x:c>
      <x:c r="Y347" s="1" t="n">
        <x:f>IF(V347=1,IF(E347="GRANTED",IF(X347="GRANTED",1,0),IF(X347="DENIED",1,0)),0)</x:f>
        <x:v>0</x:v>
      </x:c>
    </x:row>
    <x:row r="348" ht="23" customHeight="1">
      <x:c r="A348" s="9" t="n">
        <x:v>46247.44478243055</x:v>
      </x:c>
      <x:c r="B348" s="1" t="str">
        <x:v>Bayani Dela Rosa</x:v>
      </x:c>
      <x:c r="C348" s="1" t="str">
        <x:v>Exit</x:v>
      </x:c>
      <x:c r="D348" s="1" t="str">
        <x:v>Standard</x:v>
      </x:c>
      <x:c r="E348" s="1" t="str">
        <x:v>GRANTED</x:v>
      </x:c>
      <x:c r="F348" s="11" t="n">
        <x:v>10.1244</x:v>
      </x:c>
      <x:c r="G348" s="11" t="str">
        <x:v>N/A (Bypassed)</x:v>
      </x:c>
      <x:c r="H348" s="11" t="str">
        <x:v>N/A (Bypassed)</x:v>
      </x:c>
      <x:c r="I348" s="11" t="str">
        <x:v>N/A (Bypassed)</x:v>
      </x:c>
      <x:c r="J348" s="11" t="str">
        <x:v>N/A (Bypassed)</x:v>
      </x:c>
      <x:c r="K348" s="11" t="str">
        <x:v>N/A</x:v>
      </x:c>
      <x:c r="L348" s="11" t="n">
        <x:v>10.1244</x:v>
      </x:c>
      <x:c r="M348" s="11" t="n">
        <x:v>2.8074</x:v>
      </x:c>
      <x:c r="N348" s="1" t="str">
        <x:v>6898be28591c4e1abe73f83f56b307e4</x:v>
      </x:c>
      <x:c r="O348" s="1" t="str">
        <x:v>Admin Office - 1</x:v>
      </x:c>
      <x:c r="P348" s="1" t="n">
        <x:v>2</x:v>
      </x:c>
      <x:c r="Q348" s="1" t="str">
        <x:v>standard_mode_logs</x:v>
      </x:c>
      <x:c r="R348" s="1" t="n">
        <x:v>32</x:v>
      </x:c>
      <x:c r="S348" s="1" t="str">
        <x:v>Reset exit</x:v>
      </x:c>
      <x:c r="T348" s="1"/>
      <x:c r="U348" s="5" t="str"/>
      <x:c r="V348" s="1" t="n">
        <x:v>0</x:v>
      </x:c>
      <x:c r="W348" s="1" t="n">
        <x:v>0</x:v>
      </x:c>
      <x:c r="X348" s="1" t="str">
        <x:v>Not applicable</x:v>
      </x:c>
      <x:c r="Y348" s="1" t="n">
        <x:f>IF(V348=1,IF(E348="GRANTED",IF(X348="GRANTED",1,0),IF(X348="DENIED",1,0)),0)</x:f>
        <x:v>0</x:v>
      </x:c>
    </x:row>
    <x:row r="349" ht="23" customHeight="1">
      <x:c r="A349" s="9" t="n">
        <x:v>46247.444755289354</x:v>
      </x:c>
      <x:c r="B349" s="1" t="str">
        <x:v>Jose Mari Bautista</x:v>
      </x:c>
      <x:c r="C349" s="1" t="str">
        <x:v>Exit</x:v>
      </x:c>
      <x:c r="D349" s="1" t="str">
        <x:v>Standard</x:v>
      </x:c>
      <x:c r="E349" s="1" t="str">
        <x:v>GRANTED</x:v>
      </x:c>
      <x:c r="F349" s="11" t="n">
        <x:v>11.9043</x:v>
      </x:c>
      <x:c r="G349" s="11" t="str">
        <x:v>N/A (Bypassed)</x:v>
      </x:c>
      <x:c r="H349" s="11" t="str">
        <x:v>N/A (Bypassed)</x:v>
      </x:c>
      <x:c r="I349" s="11" t="str">
        <x:v>N/A (Bypassed)</x:v>
      </x:c>
      <x:c r="J349" s="11" t="str">
        <x:v>N/A (Bypassed)</x:v>
      </x:c>
      <x:c r="K349" s="11" t="str">
        <x:v>N/A</x:v>
      </x:c>
      <x:c r="L349" s="11" t="n">
        <x:v>11.9043</x:v>
      </x:c>
      <x:c r="M349" s="11" t="n">
        <x:v>3.003</x:v>
      </x:c>
      <x:c r="N349" s="1" t="str">
        <x:v>6898be28591c4e1abe73f83f56b307e4</x:v>
      </x:c>
      <x:c r="O349" s="1" t="str">
        <x:v>Admin Office - 1</x:v>
      </x:c>
      <x:c r="P349" s="1" t="n">
        <x:v>2</x:v>
      </x:c>
      <x:c r="Q349" s="1" t="str">
        <x:v>standard_mode_logs</x:v>
      </x:c>
      <x:c r="R349" s="1" t="n">
        <x:v>33</x:v>
      </x:c>
      <x:c r="S349" s="1" t="str">
        <x:v>Reset exit</x:v>
      </x:c>
      <x:c r="T349" s="1"/>
      <x:c r="U349" s="5" t="str"/>
      <x:c r="V349" s="1" t="n">
        <x:v>0</x:v>
      </x:c>
      <x:c r="W349" s="1" t="n">
        <x:v>0</x:v>
      </x:c>
      <x:c r="X349" s="1" t="str">
        <x:v>Not applicable</x:v>
      </x:c>
      <x:c r="Y349" s="1" t="n">
        <x:f>IF(V349=1,IF(E349="GRANTED",IF(X349="GRANTED",1,0),IF(X349="DENIED",1,0)),0)</x:f>
        <x:v>0</x:v>
      </x:c>
    </x:row>
    <x:row r="350" ht="23" customHeight="1">
      <x:c r="A350" s="9" t="n">
        <x:v>46247.44473309028</x:v>
      </x:c>
      <x:c r="B350" s="1" t="str">
        <x:v>Angelito Fernandez</x:v>
      </x:c>
      <x:c r="C350" s="1" t="str">
        <x:v>Exit</x:v>
      </x:c>
      <x:c r="D350" s="1" t="str">
        <x:v>Standard</x:v>
      </x:c>
      <x:c r="E350" s="1" t="str">
        <x:v>GRANTED</x:v>
      </x:c>
      <x:c r="F350" s="11" t="n">
        <x:v>11.7277</x:v>
      </x:c>
      <x:c r="G350" s="11" t="str">
        <x:v>N/A (Bypassed)</x:v>
      </x:c>
      <x:c r="H350" s="11" t="str">
        <x:v>N/A (Bypassed)</x:v>
      </x:c>
      <x:c r="I350" s="11" t="str">
        <x:v>N/A (Bypassed)</x:v>
      </x:c>
      <x:c r="J350" s="11" t="str">
        <x:v>N/A (Bypassed)</x:v>
      </x:c>
      <x:c r="K350" s="11" t="str">
        <x:v>N/A</x:v>
      </x:c>
      <x:c r="L350" s="11" t="n">
        <x:v>11.7277</x:v>
      </x:c>
      <x:c r="M350" s="11" t="n">
        <x:v>3.0804</x:v>
      </x:c>
      <x:c r="N350" s="1" t="str">
        <x:v>6898be28591c4e1abe73f83f56b307e4</x:v>
      </x:c>
      <x:c r="O350" s="1" t="str">
        <x:v>Admin Office - 1</x:v>
      </x:c>
      <x:c r="P350" s="1" t="n">
        <x:v>2</x:v>
      </x:c>
      <x:c r="Q350" s="1" t="str">
        <x:v>standard_mode_logs</x:v>
      </x:c>
      <x:c r="R350" s="1" t="n">
        <x:v>34</x:v>
      </x:c>
      <x:c r="S350" s="1" t="str">
        <x:v>Reset exit</x:v>
      </x:c>
      <x:c r="T350" s="1"/>
      <x:c r="U350" s="5" t="str"/>
      <x:c r="V350" s="1" t="n">
        <x:v>0</x:v>
      </x:c>
      <x:c r="W350" s="1" t="n">
        <x:v>0</x:v>
      </x:c>
      <x:c r="X350" s="1" t="str">
        <x:v>Not applicable</x:v>
      </x:c>
      <x:c r="Y350" s="1" t="n">
        <x:f>IF(V350=1,IF(E350="GRANTED",IF(X350="GRANTED",1,0),IF(X350="DENIED",1,0)),0)</x:f>
        <x:v>0</x:v>
      </x:c>
    </x:row>
    <x:row r="351" ht="23" customHeight="1">
      <x:c r="A351" s="9" t="n">
        <x:v>46247.44471295139</x:v>
      </x:c>
      <x:c r="B351" s="1" t="str">
        <x:v>Roberto Ramos</x:v>
      </x:c>
      <x:c r="C351" s="1" t="str">
        <x:v>Exit</x:v>
      </x:c>
      <x:c r="D351" s="1" t="str">
        <x:v>Standard</x:v>
      </x:c>
      <x:c r="E351" s="1" t="str">
        <x:v>GRANTED</x:v>
      </x:c>
      <x:c r="F351" s="11" t="n">
        <x:v>12.318</x:v>
      </x:c>
      <x:c r="G351" s="11" t="str">
        <x:v>N/A (Bypassed)</x:v>
      </x:c>
      <x:c r="H351" s="11" t="str">
        <x:v>N/A (Bypassed)</x:v>
      </x:c>
      <x:c r="I351" s="11" t="str">
        <x:v>N/A (Bypassed)</x:v>
      </x:c>
      <x:c r="J351" s="11" t="str">
        <x:v>N/A (Bypassed)</x:v>
      </x:c>
      <x:c r="K351" s="11" t="str">
        <x:v>N/A</x:v>
      </x:c>
      <x:c r="L351" s="11" t="n">
        <x:v>12.318</x:v>
      </x:c>
      <x:c r="M351" s="11" t="n">
        <x:v>2.9708</x:v>
      </x:c>
      <x:c r="N351" s="1" t="str">
        <x:v>6898be28591c4e1abe73f83f56b307e4</x:v>
      </x:c>
      <x:c r="O351" s="1" t="str">
        <x:v>Admin Office - 1</x:v>
      </x:c>
      <x:c r="P351" s="1" t="n">
        <x:v>2</x:v>
      </x:c>
      <x:c r="Q351" s="1" t="str">
        <x:v>standard_mode_logs</x:v>
      </x:c>
      <x:c r="R351" s="1" t="n">
        <x:v>35</x:v>
      </x:c>
      <x:c r="S351" s="1" t="str">
        <x:v>Reset exit</x:v>
      </x:c>
      <x:c r="T351" s="1"/>
      <x:c r="U351" s="5" t="str"/>
      <x:c r="V351" s="1" t="n">
        <x:v>0</x:v>
      </x:c>
      <x:c r="W351" s="1" t="n">
        <x:v>0</x:v>
      </x:c>
      <x:c r="X351" s="1" t="str">
        <x:v>Not applicable</x:v>
      </x:c>
      <x:c r="Y351" s="1" t="n">
        <x:f>IF(V351=1,IF(E351="GRANTED",IF(X351="GRANTED",1,0),IF(X351="DENIED",1,0)),0)</x:f>
        <x:v>0</x:v>
      </x:c>
    </x:row>
    <x:row r="352" ht="23" customHeight="1">
      <x:c r="A352" s="9" t="n">
        <x:v>46247.44469199074</x:v>
      </x:c>
      <x:c r="B352" s="1" t="str">
        <x:v>Juanito Delos Santos</x:v>
      </x:c>
      <x:c r="C352" s="1" t="str">
        <x:v>Exit</x:v>
      </x:c>
      <x:c r="D352" s="1" t="str">
        <x:v>Standard</x:v>
      </x:c>
      <x:c r="E352" s="1" t="str">
        <x:v>GRANTED</x:v>
      </x:c>
      <x:c r="F352" s="11" t="n">
        <x:v>9.963</x:v>
      </x:c>
      <x:c r="G352" s="11" t="str">
        <x:v>N/A (Bypassed)</x:v>
      </x:c>
      <x:c r="H352" s="11" t="str">
        <x:v>N/A (Bypassed)</x:v>
      </x:c>
      <x:c r="I352" s="11" t="str">
        <x:v>N/A (Bypassed)</x:v>
      </x:c>
      <x:c r="J352" s="11" t="str">
        <x:v>N/A (Bypassed)</x:v>
      </x:c>
      <x:c r="K352" s="11" t="str">
        <x:v>N/A</x:v>
      </x:c>
      <x:c r="L352" s="11" t="n">
        <x:v>9.963</x:v>
      </x:c>
      <x:c r="M352" s="11" t="n">
        <x:v>2.8116</x:v>
      </x:c>
      <x:c r="N352" s="1" t="str">
        <x:v>6898be28591c4e1abe73f83f56b307e4</x:v>
      </x:c>
      <x:c r="O352" s="1" t="str">
        <x:v>Admin Office - 1</x:v>
      </x:c>
      <x:c r="P352" s="1" t="n">
        <x:v>2</x:v>
      </x:c>
      <x:c r="Q352" s="1" t="str">
        <x:v>standard_mode_logs</x:v>
      </x:c>
      <x:c r="R352" s="1" t="n">
        <x:v>36</x:v>
      </x:c>
      <x:c r="S352" s="1" t="str">
        <x:v>Reset exit</x:v>
      </x:c>
      <x:c r="T352" s="1"/>
      <x:c r="U352" s="5" t="str"/>
      <x:c r="V352" s="1" t="n">
        <x:v>0</x:v>
      </x:c>
      <x:c r="W352" s="1" t="n">
        <x:v>0</x:v>
      </x:c>
      <x:c r="X352" s="1" t="str">
        <x:v>Not applicable</x:v>
      </x:c>
      <x:c r="Y352" s="1" t="n">
        <x:f>IF(V352=1,IF(E352="GRANTED",IF(X352="GRANTED",1,0),IF(X352="DENIED",1,0)),0)</x:f>
        <x:v>0</x:v>
      </x:c>
    </x:row>
    <x:row r="353" ht="23" customHeight="1">
      <x:c r="A353" s="9" t="n">
        <x:v>46247.44467170139</x:v>
      </x:c>
      <x:c r="B353" s="1" t="str">
        <x:v>[TEMP] Manuel Mendoza</x:v>
      </x:c>
      <x:c r="C353" s="1" t="str">
        <x:v>Exit</x:v>
      </x:c>
      <x:c r="D353" s="1" t="str">
        <x:v>Standard</x:v>
      </x:c>
      <x:c r="E353" s="1" t="str">
        <x:v>GRANTED</x:v>
      </x:c>
      <x:c r="F353" s="11" t="n">
        <x:v>9.8022</x:v>
      </x:c>
      <x:c r="G353" s="11" t="str">
        <x:v>N/A (Bypassed)</x:v>
      </x:c>
      <x:c r="H353" s="11" t="str">
        <x:v>N/A (Bypassed)</x:v>
      </x:c>
      <x:c r="I353" s="11" t="str">
        <x:v>N/A (Bypassed)</x:v>
      </x:c>
      <x:c r="J353" s="11" t="str">
        <x:v>N/A (Bypassed)</x:v>
      </x:c>
      <x:c r="K353" s="11" t="str">
        <x:v>N/A</x:v>
      </x:c>
      <x:c r="L353" s="11" t="n">
        <x:v>9.8022</x:v>
      </x:c>
      <x:c r="M353" s="11" t="n">
        <x:v>2.3576</x:v>
      </x:c>
      <x:c r="N353" s="1" t="str">
        <x:v>6898be28591c4e1abe73f83f56b307e4</x:v>
      </x:c>
      <x:c r="O353" s="1" t="str">
        <x:v>Admin Office - 1</x:v>
      </x:c>
      <x:c r="P353" s="1" t="n">
        <x:v>2</x:v>
      </x:c>
      <x:c r="Q353" s="1" t="str">
        <x:v>standard_mode_logs</x:v>
      </x:c>
      <x:c r="R353" s="1" t="n">
        <x:v>37</x:v>
      </x:c>
      <x:c r="S353" s="1" t="str">
        <x:v>Reset exit</x:v>
      </x:c>
      <x:c r="T353" s="1"/>
      <x:c r="U353" s="5" t="str"/>
      <x:c r="V353" s="1" t="n">
        <x:v>0</x:v>
      </x:c>
      <x:c r="W353" s="1" t="n">
        <x:v>0</x:v>
      </x:c>
      <x:c r="X353" s="1" t="str">
        <x:v>Not applicable</x:v>
      </x:c>
      <x:c r="Y353" s="1" t="n">
        <x:f>IF(V353=1,IF(E353="GRANTED",IF(X353="GRANTED",1,0),IF(X353="DENIED",1,0)),0)</x:f>
        <x:v>0</x:v>
      </x:c>
    </x:row>
    <x:row r="354" ht="23" customHeight="1">
      <x:c r="A354" s="9" t="n">
        <x:v>46247.44461590278</x:v>
      </x:c>
      <x:c r="B354" s="1" t="str">
        <x:v>Francisco Garcia</x:v>
      </x:c>
      <x:c r="C354" s="1" t="str">
        <x:v>Exit</x:v>
      </x:c>
      <x:c r="D354" s="1" t="str">
        <x:v>Standard</x:v>
      </x:c>
      <x:c r="E354" s="1" t="str">
        <x:v>GRANTED</x:v>
      </x:c>
      <x:c r="F354" s="11" t="n">
        <x:v>10.4987</x:v>
      </x:c>
      <x:c r="G354" s="11" t="str">
        <x:v>N/A (Bypassed)</x:v>
      </x:c>
      <x:c r="H354" s="11" t="str">
        <x:v>N/A (Bypassed)</x:v>
      </x:c>
      <x:c r="I354" s="11" t="str">
        <x:v>N/A (Bypassed)</x:v>
      </x:c>
      <x:c r="J354" s="11" t="str">
        <x:v>N/A (Bypassed)</x:v>
      </x:c>
      <x:c r="K354" s="11" t="str">
        <x:v>N/A</x:v>
      </x:c>
      <x:c r="L354" s="11" t="n">
        <x:v>10.4987</x:v>
      </x:c>
      <x:c r="M354" s="11" t="n">
        <x:v>2.7229</x:v>
      </x:c>
      <x:c r="N354" s="1" t="str">
        <x:v>6898be28591c4e1abe73f83f56b307e4</x:v>
      </x:c>
      <x:c r="O354" s="1" t="str">
        <x:v>Admin Office - 1</x:v>
      </x:c>
      <x:c r="P354" s="1" t="n">
        <x:v>2</x:v>
      </x:c>
      <x:c r="Q354" s="1" t="str">
        <x:v>standard_mode_logs</x:v>
      </x:c>
      <x:c r="R354" s="1" t="n">
        <x:v>38</x:v>
      </x:c>
      <x:c r="S354" s="1" t="str">
        <x:v>Reset exit</x:v>
      </x:c>
      <x:c r="T354" s="1"/>
      <x:c r="U354" s="5" t="str"/>
      <x:c r="V354" s="1" t="n">
        <x:v>0</x:v>
      </x:c>
      <x:c r="W354" s="1" t="n">
        <x:v>0</x:v>
      </x:c>
      <x:c r="X354" s="1" t="str">
        <x:v>Not applicable</x:v>
      </x:c>
      <x:c r="Y354" s="1" t="n">
        <x:f>IF(V354=1,IF(E354="GRANTED",IF(X354="GRANTED",1,0),IF(X354="DENIED",1,0)),0)</x:f>
        <x:v>0</x:v>
      </x:c>
    </x:row>
    <x:row r="355" ht="23" customHeight="1">
      <x:c r="A355" s="9" t="n">
        <x:v>46247.44459958334</x:v>
      </x:c>
      <x:c r="B355" s="1" t="str">
        <x:v>[TEMP] Pedro Reyes</x:v>
      </x:c>
      <x:c r="C355" s="1" t="str">
        <x:v>Exit</x:v>
      </x:c>
      <x:c r="D355" s="1" t="str">
        <x:v>Standard</x:v>
      </x:c>
      <x:c r="E355" s="1" t="str">
        <x:v>GRANTED</x:v>
      </x:c>
      <x:c r="F355" s="11" t="n">
        <x:v>11.6987</x:v>
      </x:c>
      <x:c r="G355" s="11" t="str">
        <x:v>N/A (Bypassed)</x:v>
      </x:c>
      <x:c r="H355" s="11" t="str">
        <x:v>N/A (Bypassed)</x:v>
      </x:c>
      <x:c r="I355" s="11" t="str">
        <x:v>N/A (Bypassed)</x:v>
      </x:c>
      <x:c r="J355" s="11" t="str">
        <x:v>N/A (Bypassed)</x:v>
      </x:c>
      <x:c r="K355" s="11" t="str">
        <x:v>N/A</x:v>
      </x:c>
      <x:c r="L355" s="11" t="n">
        <x:v>11.6987</x:v>
      </x:c>
      <x:c r="M355" s="11" t="n">
        <x:v>4.3299</x:v>
      </x:c>
      <x:c r="N355" s="1" t="str">
        <x:v>6898be28591c4e1abe73f83f56b307e4</x:v>
      </x:c>
      <x:c r="O355" s="1" t="str">
        <x:v>Admin Office - 1</x:v>
      </x:c>
      <x:c r="P355" s="1" t="n">
        <x:v>2</x:v>
      </x:c>
      <x:c r="Q355" s="1" t="str">
        <x:v>standard_mode_logs</x:v>
      </x:c>
      <x:c r="R355" s="1" t="n">
        <x:v>39</x:v>
      </x:c>
      <x:c r="S355" s="1" t="str">
        <x:v>Reset exit</x:v>
      </x:c>
      <x:c r="T355" s="1"/>
      <x:c r="U355" s="5" t="str"/>
      <x:c r="V355" s="1" t="n">
        <x:v>0</x:v>
      </x:c>
      <x:c r="W355" s="1" t="n">
        <x:v>0</x:v>
      </x:c>
      <x:c r="X355" s="1" t="str">
        <x:v>Not applicable</x:v>
      </x:c>
      <x:c r="Y355" s="1" t="n">
        <x:f>IF(V355=1,IF(E355="GRANTED",IF(X355="GRANTED",1,0),IF(X355="DENIED",1,0)),0)</x:f>
        <x:v>0</x:v>
      </x:c>
    </x:row>
    <x:row r="356" ht="23" customHeight="1">
      <x:c r="A356" s="9" t="n">
        <x:v>46247.44457940973</x:v>
      </x:c>
      <x:c r="B356" s="1" t="str">
        <x:v>[TEMP] Jose Santos</x:v>
      </x:c>
      <x:c r="C356" s="1" t="str">
        <x:v>Exit</x:v>
      </x:c>
      <x:c r="D356" s="1" t="str">
        <x:v>Standard</x:v>
      </x:c>
      <x:c r="E356" s="1" t="str">
        <x:v>GRANTED</x:v>
      </x:c>
      <x:c r="F356" s="11" t="n">
        <x:v>11.4876</x:v>
      </x:c>
      <x:c r="G356" s="11" t="str">
        <x:v>N/A (Bypassed)</x:v>
      </x:c>
      <x:c r="H356" s="11" t="str">
        <x:v>N/A (Bypassed)</x:v>
      </x:c>
      <x:c r="I356" s="11" t="str">
        <x:v>N/A (Bypassed)</x:v>
      </x:c>
      <x:c r="J356" s="11" t="str">
        <x:v>N/A (Bypassed)</x:v>
      </x:c>
      <x:c r="K356" s="11" t="str">
        <x:v>N/A</x:v>
      </x:c>
      <x:c r="L356" s="11" t="n">
        <x:v>11.4876</x:v>
      </x:c>
      <x:c r="M356" s="11" t="n">
        <x:v>4.7847</x:v>
      </x:c>
      <x:c r="N356" s="1" t="str">
        <x:v>6898be28591c4e1abe73f83f56b307e4</x:v>
      </x:c>
      <x:c r="O356" s="1" t="str">
        <x:v>Admin Office - 1</x:v>
      </x:c>
      <x:c r="P356" s="1" t="n">
        <x:v>2</x:v>
      </x:c>
      <x:c r="Q356" s="1" t="str">
        <x:v>standard_mode_logs</x:v>
      </x:c>
      <x:c r="R356" s="1" t="n">
        <x:v>40</x:v>
      </x:c>
      <x:c r="S356" s="1" t="str">
        <x:v>Reset exit</x:v>
      </x:c>
      <x:c r="T356" s="1"/>
      <x:c r="U356" s="5" t="str"/>
      <x:c r="V356" s="1" t="n">
        <x:v>0</x:v>
      </x:c>
      <x:c r="W356" s="1" t="n">
        <x:v>0</x:v>
      </x:c>
      <x:c r="X356" s="1" t="str">
        <x:v>Not applicable</x:v>
      </x:c>
      <x:c r="Y356" s="1" t="n">
        <x:f>IF(V356=1,IF(E356="GRANTED",IF(X356="GRANTED",1,0),IF(X356="DENIED",1,0)),0)</x:f>
        <x:v>0</x:v>
      </x:c>
    </x:row>
    <x:row r="357" ht="23" customHeight="1">
      <x:c r="A357" s="9" t="n">
        <x:v>46247.44456015046</x:v>
      </x:c>
      <x:c r="B357" s="1" t="str">
        <x:v>[TEMP] Juan Dela Cruz</x:v>
      </x:c>
      <x:c r="C357" s="1" t="str">
        <x:v>Exit</x:v>
      </x:c>
      <x:c r="D357" s="1" t="str">
        <x:v>Standard</x:v>
      </x:c>
      <x:c r="E357" s="1" t="str">
        <x:v>GRANTED</x:v>
      </x:c>
      <x:c r="F357" s="11" t="n">
        <x:v>9.5568</x:v>
      </x:c>
      <x:c r="G357" s="11" t="str">
        <x:v>N/A (Bypassed)</x:v>
      </x:c>
      <x:c r="H357" s="11" t="str">
        <x:v>N/A (Bypassed)</x:v>
      </x:c>
      <x:c r="I357" s="11" t="str">
        <x:v>N/A (Bypassed)</x:v>
      </x:c>
      <x:c r="J357" s="11" t="str">
        <x:v>N/A (Bypassed)</x:v>
      </x:c>
      <x:c r="K357" s="11" t="str">
        <x:v>N/A</x:v>
      </x:c>
      <x:c r="L357" s="11" t="n">
        <x:v>9.5568</x:v>
      </x:c>
      <x:c r="M357" s="11" t="n">
        <x:v>0.7918</x:v>
      </x:c>
      <x:c r="N357" s="1" t="str">
        <x:v>6898be28591c4e1abe73f83f56b307e4</x:v>
      </x:c>
      <x:c r="O357" s="1" t="str">
        <x:v>Admin Office - 1</x:v>
      </x:c>
      <x:c r="P357" s="1" t="n">
        <x:v>2</x:v>
      </x:c>
      <x:c r="Q357" s="1" t="str">
        <x:v>standard_mode_logs</x:v>
      </x:c>
      <x:c r="R357" s="1" t="n">
        <x:v>41</x:v>
      </x:c>
      <x:c r="S357" s="1" t="str">
        <x:v>Reset exit</x:v>
      </x:c>
      <x:c r="T357" s="1"/>
      <x:c r="U357" s="5" t="str"/>
      <x:c r="V357" s="1" t="n">
        <x:v>0</x:v>
      </x:c>
      <x:c r="W357" s="1" t="n">
        <x:v>0</x:v>
      </x:c>
      <x:c r="X357" s="1" t="str">
        <x:v>Not applicable</x:v>
      </x:c>
      <x:c r="Y357" s="1" t="n">
        <x:f>IF(V357=1,IF(E357="GRANTED",IF(X357="GRANTED",1,0),IF(X357="DENIED",1,0)),0)</x:f>
        <x:v>0</x:v>
      </x:c>
    </x:row>
    <x:row r="358" ht="23" customHeight="1">
      <x:c r="A358" s="9" t="n">
        <x:v>46247.44442331018</x:v>
      </x:c>
      <x:c r="B358" s="1" t="str">
        <x:v>Pedro Penduko</x:v>
      </x:c>
      <x:c r="C358" s="1" t="str">
        <x:v>Entry</x:v>
      </x:c>
      <x:c r="D358" s="1" t="str">
        <x:v>Standard</x:v>
      </x:c>
      <x:c r="E358" s="1" t="str">
        <x:v>GRANTED</x:v>
      </x:c>
      <x:c r="F358" s="11" t="n">
        <x:v>36.5653</x:v>
      </x:c>
      <x:c r="G358" s="11" t="n">
        <x:v>1594.7919</x:v>
      </x:c>
      <x:c r="H358" s="11" t="n">
        <x:v>39.5976</x:v>
      </x:c>
      <x:c r="I358" s="11" t="str">
        <x:v>N/A (Bypassed)</x:v>
      </x:c>
      <x:c r="J358" s="11" t="str">
        <x:v>N/A (Bypassed)</x:v>
      </x:c>
      <x:c r="K358" s="11" t="n">
        <x:v>1594.7919</x:v>
      </x:c>
      <x:c r="L358" s="11" t="n">
        <x:v>76.1629</x:v>
      </x:c>
      <x:c r="M358" s="11" t="n">
        <x:v>68.8785</x:v>
      </x:c>
      <x:c r="N358" s="1" t="str">
        <x:v>6898be28591c4e1abe73f83f56b307e4</x:v>
      </x:c>
      <x:c r="O358" s="1" t="str">
        <x:v>Admin Office - 1</x:v>
      </x:c>
      <x:c r="P358" s="1" t="n">
        <x:v>2</x:v>
      </x:c>
      <x:c r="Q358" s="1" t="str">
        <x:v>standard_mode_logs</x:v>
      </x:c>
      <x:c r="R358" s="1" t="n">
        <x:v>42</x:v>
      </x:c>
      <x:c r="S358" s="1" t="str">
        <x:v>Successful entry</x:v>
      </x:c>
      <x:c r="T358" s="1" t="n">
        <x:v>1</x:v>
      </x:c>
      <x:c r="U358" s="5" t="str"/>
      <x:c r="V358" s="1" t="n">
        <x:v>1</x:v>
      </x:c>
      <x:c r="W358" s="1" t="n">
        <x:v>1</x:v>
      </x:c>
      <x:c r="X358" s="1" t="str">
        <x:v>GRANTED</x:v>
      </x:c>
      <x:c r="Y358" s="1" t="n">
        <x:f>IF(V358=1,IF(E358="GRANTED",IF(X358="GRANTED",1,0),IF(X358="DENIED",1,0)),0)</x:f>
        <x:v>1</x:v>
      </x:c>
    </x:row>
    <x:row r="359" ht="23" customHeight="1">
      <x:c r="A359" s="9" t="n">
        <x:v>46247.44435327547</x:v>
      </x:c>
      <x:c r="B359" s="1" t="str">
        <x:v>Juan Tamad</x:v>
      </x:c>
      <x:c r="C359" s="1" t="str">
        <x:v>Entry</x:v>
      </x:c>
      <x:c r="D359" s="1" t="str">
        <x:v>Standard</x:v>
      </x:c>
      <x:c r="E359" s="1" t="str">
        <x:v>GRANTED</x:v>
      </x:c>
      <x:c r="F359" s="11" t="n">
        <x:v>11.333</x:v>
      </x:c>
      <x:c r="G359" s="11" t="n">
        <x:v>2200.2436</x:v>
      </x:c>
      <x:c r="H359" s="11" t="n">
        <x:v>68.9257</x:v>
      </x:c>
      <x:c r="I359" s="11" t="str">
        <x:v>N/A (Bypassed)</x:v>
      </x:c>
      <x:c r="J359" s="11" t="str">
        <x:v>N/A (Bypassed)</x:v>
      </x:c>
      <x:c r="K359" s="11" t="n">
        <x:v>2200.2436</x:v>
      </x:c>
      <x:c r="L359" s="11" t="n">
        <x:v>80.2587</x:v>
      </x:c>
      <x:c r="M359" s="11" t="n">
        <x:v>71.777</x:v>
      </x:c>
      <x:c r="N359" s="1" t="str">
        <x:v>6898be28591c4e1abe73f83f56b307e4</x:v>
      </x:c>
      <x:c r="O359" s="1" t="str">
        <x:v>Admin Office - 1</x:v>
      </x:c>
      <x:c r="P359" s="1" t="n">
        <x:v>2</x:v>
      </x:c>
      <x:c r="Q359" s="1" t="str">
        <x:v>standard_mode_logs</x:v>
      </x:c>
      <x:c r="R359" s="1" t="n">
        <x:v>43</x:v>
      </x:c>
      <x:c r="S359" s="1" t="str">
        <x:v>Successful entry</x:v>
      </x:c>
      <x:c r="T359" s="1" t="n">
        <x:v>1</x:v>
      </x:c>
      <x:c r="U359" s="5" t="str"/>
      <x:c r="V359" s="1" t="n">
        <x:v>1</x:v>
      </x:c>
      <x:c r="W359" s="1" t="n">
        <x:v>1</x:v>
      </x:c>
      <x:c r="X359" s="1" t="str">
        <x:v>GRANTED</x:v>
      </x:c>
      <x:c r="Y359" s="1" t="n">
        <x:f>IF(V359=1,IF(E359="GRANTED",IF(X359="GRANTED",1,0),IF(X359="DENIED",1,0)),0)</x:f>
        <x:v>1</x:v>
      </x:c>
    </x:row>
    <x:row r="360" ht="23" customHeight="1">
      <x:c r="A360" s="9" t="n">
        <x:v>46247.44428909722</x:v>
      </x:c>
      <x:c r="B360" s="1" t="str">
        <x:v>Luningning Santos</x:v>
      </x:c>
      <x:c r="C360" s="1" t="str">
        <x:v>Entry</x:v>
      </x:c>
      <x:c r="D360" s="1" t="str">
        <x:v>Standard</x:v>
      </x:c>
      <x:c r="E360" s="1" t="str">
        <x:v>GRANTED</x:v>
      </x:c>
      <x:c r="F360" s="11" t="n">
        <x:v>42.0913</x:v>
      </x:c>
      <x:c r="G360" s="11" t="n">
        <x:v>1814.7003</x:v>
      </x:c>
      <x:c r="H360" s="11" t="n">
        <x:v>37.2514</x:v>
      </x:c>
      <x:c r="I360" s="11" t="str">
        <x:v>N/A (Bypassed)</x:v>
      </x:c>
      <x:c r="J360" s="11" t="str">
        <x:v>N/A (Bypassed)</x:v>
      </x:c>
      <x:c r="K360" s="11" t="n">
        <x:v>1814.7003</x:v>
      </x:c>
      <x:c r="L360" s="11" t="n">
        <x:v>79.3427</x:v>
      </x:c>
      <x:c r="M360" s="11" t="n">
        <x:v>71.4105</x:v>
      </x:c>
      <x:c r="N360" s="1" t="str">
        <x:v>6898be28591c4e1abe73f83f56b307e4</x:v>
      </x:c>
      <x:c r="O360" s="1" t="str">
        <x:v>Admin Office - 1</x:v>
      </x:c>
      <x:c r="P360" s="1" t="n">
        <x:v>2</x:v>
      </x:c>
      <x:c r="Q360" s="1" t="str">
        <x:v>standard_mode_logs</x:v>
      </x:c>
      <x:c r="R360" s="1" t="n">
        <x:v>44</x:v>
      </x:c>
      <x:c r="S360" s="1" t="str">
        <x:v>Successful entry</x:v>
      </x:c>
      <x:c r="T360" s="1" t="n">
        <x:v>1</x:v>
      </x:c>
      <x:c r="U360" s="5" t="str"/>
      <x:c r="V360" s="1" t="n">
        <x:v>1</x:v>
      </x:c>
      <x:c r="W360" s="1" t="n">
        <x:v>1</x:v>
      </x:c>
      <x:c r="X360" s="1" t="str">
        <x:v>GRANTED</x:v>
      </x:c>
      <x:c r="Y360" s="1" t="n">
        <x:f>IF(V360=1,IF(E360="GRANTED",IF(X360="GRANTED",1,0),IF(X360="DENIED",1,0)),0)</x:f>
        <x:v>1</x:v>
      </x:c>
    </x:row>
    <x:row r="361" ht="23" customHeight="1">
      <x:c r="A361" s="9" t="n">
        <x:v>46247.44422695602</x:v>
      </x:c>
      <x:c r="B361" s="1" t="str">
        <x:v>Teresita Gonzales</x:v>
      </x:c>
      <x:c r="C361" s="1" t="str">
        <x:v>Entry</x:v>
      </x:c>
      <x:c r="D361" s="1" t="str">
        <x:v>Standard</x:v>
      </x:c>
      <x:c r="E361" s="1" t="str">
        <x:v>GRANTED</x:v>
      </x:c>
      <x:c r="F361" s="11" t="n">
        <x:v>11.618</x:v>
      </x:c>
      <x:c r="G361" s="11" t="n">
        <x:v>1539.8935</x:v>
      </x:c>
      <x:c r="H361" s="11" t="n">
        <x:v>39.5551</x:v>
      </x:c>
      <x:c r="I361" s="11" t="str">
        <x:v>N/A (Bypassed)</x:v>
      </x:c>
      <x:c r="J361" s="11" t="str">
        <x:v>N/A (Bypassed)</x:v>
      </x:c>
      <x:c r="K361" s="11" t="n">
        <x:v>1539.8935</x:v>
      </x:c>
      <x:c r="L361" s="11" t="n">
        <x:v>51.1731</x:v>
      </x:c>
      <x:c r="M361" s="11" t="n">
        <x:v>43.5718</x:v>
      </x:c>
      <x:c r="N361" s="1" t="str">
        <x:v>6898be28591c4e1abe73f83f56b307e4</x:v>
      </x:c>
      <x:c r="O361" s="1" t="str">
        <x:v>Admin Office - 1</x:v>
      </x:c>
      <x:c r="P361" s="1" t="n">
        <x:v>2</x:v>
      </x:c>
      <x:c r="Q361" s="1" t="str">
        <x:v>standard_mode_logs</x:v>
      </x:c>
      <x:c r="R361" s="1" t="n">
        <x:v>45</x:v>
      </x:c>
      <x:c r="S361" s="1" t="str">
        <x:v>Successful entry</x:v>
      </x:c>
      <x:c r="T361" s="1" t="n">
        <x:v>1</x:v>
      </x:c>
      <x:c r="U361" s="5" t="str"/>
      <x:c r="V361" s="1" t="n">
        <x:v>1</x:v>
      </x:c>
      <x:c r="W361" s="1" t="n">
        <x:v>1</x:v>
      </x:c>
      <x:c r="X361" s="1" t="str">
        <x:v>GRANTED</x:v>
      </x:c>
      <x:c r="Y361" s="1" t="n">
        <x:f>IF(V361=1,IF(E361="GRANTED",IF(X361="GRANTED",1,0),IF(X361="DENIED",1,0)),0)</x:f>
        <x:v>1</x:v>
      </x:c>
    </x:row>
    <x:row r="362" ht="23" customHeight="1">
      <x:c r="A362" s="9" t="n">
        <x:v>46247.44416222222</x:v>
      </x:c>
      <x:c r="B362" s="1" t="str">
        <x:v>Ana Delos Reyes</x:v>
      </x:c>
      <x:c r="C362" s="1" t="str">
        <x:v>Entry</x:v>
      </x:c>
      <x:c r="D362" s="1" t="str">
        <x:v>Standard</x:v>
      </x:c>
      <x:c r="E362" s="1" t="str">
        <x:v>GRANTED</x:v>
      </x:c>
      <x:c r="F362" s="11" t="n">
        <x:v>11.0266</x:v>
      </x:c>
      <x:c r="G362" s="11" t="n">
        <x:v>1704.9833</x:v>
      </x:c>
      <x:c r="H362" s="11" t="n">
        <x:v>38.4654</x:v>
      </x:c>
      <x:c r="I362" s="11" t="str">
        <x:v>N/A (Bypassed)</x:v>
      </x:c>
      <x:c r="J362" s="11" t="str">
        <x:v>N/A (Bypassed)</x:v>
      </x:c>
      <x:c r="K362" s="11" t="n">
        <x:v>1704.9833</x:v>
      </x:c>
      <x:c r="L362" s="11" t="n">
        <x:v>49.492</x:v>
      </x:c>
      <x:c r="M362" s="11" t="n">
        <x:v>41.2289</x:v>
      </x:c>
      <x:c r="N362" s="1" t="str">
        <x:v>6898be28591c4e1abe73f83f56b307e4</x:v>
      </x:c>
      <x:c r="O362" s="1" t="str">
        <x:v>Admin Office - 1</x:v>
      </x:c>
      <x:c r="P362" s="1" t="n">
        <x:v>2</x:v>
      </x:c>
      <x:c r="Q362" s="1" t="str">
        <x:v>standard_mode_logs</x:v>
      </x:c>
      <x:c r="R362" s="1" t="n">
        <x:v>46</x:v>
      </x:c>
      <x:c r="S362" s="1" t="str">
        <x:v>Successful entry</x:v>
      </x:c>
      <x:c r="T362" s="1" t="n">
        <x:v>1</x:v>
      </x:c>
      <x:c r="U362" s="5" t="str"/>
      <x:c r="V362" s="1" t="n">
        <x:v>1</x:v>
      </x:c>
      <x:c r="W362" s="1" t="n">
        <x:v>1</x:v>
      </x:c>
      <x:c r="X362" s="1" t="str">
        <x:v>GRANTED</x:v>
      </x:c>
      <x:c r="Y362" s="1" t="n">
        <x:f>IF(V362=1,IF(E362="GRANTED",IF(X362="GRANTED",1,0),IF(X362="DENIED",1,0)),0)</x:f>
        <x:v>1</x:v>
      </x:c>
    </x:row>
    <x:row r="363" ht="23" customHeight="1">
      <x:c r="A363" s="9" t="n">
        <x:v>46247.44410143519</x:v>
      </x:c>
      <x:c r="B363" s="1" t="str">
        <x:v>Maria Santos</x:v>
      </x:c>
      <x:c r="C363" s="1" t="str">
        <x:v>Entry</x:v>
      </x:c>
      <x:c r="D363" s="1" t="str">
        <x:v>Standard</x:v>
      </x:c>
      <x:c r="E363" s="1" t="str">
        <x:v>GRANTED</x:v>
      </x:c>
      <x:c r="F363" s="11" t="n">
        <x:v>11.6388</x:v>
      </x:c>
      <x:c r="G363" s="11" t="n">
        <x:v>4069.945</x:v>
      </x:c>
      <x:c r="H363" s="11" t="n">
        <x:v>39.0685</x:v>
      </x:c>
      <x:c r="I363" s="11" t="str">
        <x:v>N/A (Bypassed)</x:v>
      </x:c>
      <x:c r="J363" s="11" t="str">
        <x:v>N/A (Bypassed)</x:v>
      </x:c>
      <x:c r="K363" s="11" t="n">
        <x:v>4069.945</x:v>
      </x:c>
      <x:c r="L363" s="11" t="n">
        <x:v>50.7073</x:v>
      </x:c>
      <x:c r="M363" s="11" t="n">
        <x:v>42.018</x:v>
      </x:c>
      <x:c r="N363" s="1" t="str">
        <x:v>6898be28591c4e1abe73f83f56b307e4</x:v>
      </x:c>
      <x:c r="O363" s="1" t="str">
        <x:v>Admin Office - 1</x:v>
      </x:c>
      <x:c r="P363" s="1" t="n">
        <x:v>2</x:v>
      </x:c>
      <x:c r="Q363" s="1" t="str">
        <x:v>standard_mode_logs</x:v>
      </x:c>
      <x:c r="R363" s="1" t="n">
        <x:v>47</x:v>
      </x:c>
      <x:c r="S363" s="1" t="str">
        <x:v>Successful entry</x:v>
      </x:c>
      <x:c r="T363" s="1" t="n">
        <x:v>1</x:v>
      </x:c>
      <x:c r="U363" s="5" t="str"/>
      <x:c r="V363" s="1" t="n">
        <x:v>1</x:v>
      </x:c>
      <x:c r="W363" s="1" t="n">
        <x:v>1</x:v>
      </x:c>
      <x:c r="X363" s="1" t="str">
        <x:v>GRANTED</x:v>
      </x:c>
      <x:c r="Y363" s="1" t="n">
        <x:f>IF(V363=1,IF(E363="GRANTED",IF(X363="GRANTED",1,0),IF(X363="DENIED",1,0)),0)</x:f>
        <x:v>1</x:v>
      </x:c>
    </x:row>
    <x:row r="364" ht="23" customHeight="1">
      <x:c r="A364" s="9" t="n">
        <x:v>46247.44401357639</x:v>
      </x:c>
      <x:c r="B364" s="1" t="str">
        <x:v>Maria Clara</x:v>
      </x:c>
      <x:c r="C364" s="1" t="str">
        <x:v>Entry</x:v>
      </x:c>
      <x:c r="D364" s="1" t="str">
        <x:v>Standard</x:v>
      </x:c>
      <x:c r="E364" s="1" t="str">
        <x:v>GRANTED</x:v>
      </x:c>
      <x:c r="F364" s="11" t="n">
        <x:v>8.1385</x:v>
      </x:c>
      <x:c r="G364" s="11" t="n">
        <x:v>1815.1769</x:v>
      </x:c>
      <x:c r="H364" s="11" t="n">
        <x:v>38.6488</x:v>
      </x:c>
      <x:c r="I364" s="11" t="str">
        <x:v>N/A (Bypassed)</x:v>
      </x:c>
      <x:c r="J364" s="11" t="str">
        <x:v>N/A (Bypassed)</x:v>
      </x:c>
      <x:c r="K364" s="11" t="n">
        <x:v>1815.1769</x:v>
      </x:c>
      <x:c r="L364" s="11" t="n">
        <x:v>46.7873</x:v>
      </x:c>
      <x:c r="M364" s="11" t="n">
        <x:v>39.2327</x:v>
      </x:c>
      <x:c r="N364" s="1" t="str">
        <x:v>6898be28591c4e1abe73f83f56b307e4</x:v>
      </x:c>
      <x:c r="O364" s="1" t="str">
        <x:v>Admin Office - 1</x:v>
      </x:c>
      <x:c r="P364" s="1" t="n">
        <x:v>2</x:v>
      </x:c>
      <x:c r="Q364" s="1" t="str">
        <x:v>standard_mode_logs</x:v>
      </x:c>
      <x:c r="R364" s="1" t="n">
        <x:v>48</x:v>
      </x:c>
      <x:c r="S364" s="1" t="str">
        <x:v>Successful entry</x:v>
      </x:c>
      <x:c r="T364" s="1" t="n">
        <x:v>1</x:v>
      </x:c>
      <x:c r="U364" s="5" t="str"/>
      <x:c r="V364" s="1" t="n">
        <x:v>1</x:v>
      </x:c>
      <x:c r="W364" s="1" t="n">
        <x:v>1</x:v>
      </x:c>
      <x:c r="X364" s="1" t="str">
        <x:v>GRANTED</x:v>
      </x:c>
      <x:c r="Y364" s="1" t="n">
        <x:f>IF(V364=1,IF(E364="GRANTED",IF(X364="GRANTED",1,0),IF(X364="DENIED",1,0)),0)</x:f>
        <x:v>1</x:v>
      </x:c>
    </x:row>
    <x:row r="365" ht="23" customHeight="1">
      <x:c r="A365" s="9" t="n">
        <x:v>46247.44393601852</x:v>
      </x:c>
      <x:c r="B365" s="1" t="str">
        <x:v>Juana Dela Cruz</x:v>
      </x:c>
      <x:c r="C365" s="1" t="str">
        <x:v>Entry</x:v>
      </x:c>
      <x:c r="D365" s="1" t="str">
        <x:v>Standard</x:v>
      </x:c>
      <x:c r="E365" s="1" t="str">
        <x:v>GRANTED</x:v>
      </x:c>
      <x:c r="F365" s="11" t="n">
        <x:v>98.3055</x:v>
      </x:c>
      <x:c r="G365" s="11" t="n">
        <x:v>1484.4098</x:v>
      </x:c>
      <x:c r="H365" s="11" t="n">
        <x:v>39.1682</x:v>
      </x:c>
      <x:c r="I365" s="11" t="str">
        <x:v>N/A (Bypassed)</x:v>
      </x:c>
      <x:c r="J365" s="11" t="str">
        <x:v>N/A (Bypassed)</x:v>
      </x:c>
      <x:c r="K365" s="11" t="n">
        <x:v>1484.4098</x:v>
      </x:c>
      <x:c r="L365" s="11" t="n">
        <x:v>137.4737</x:v>
      </x:c>
      <x:c r="M365" s="11" t="n">
        <x:v>42.1648</x:v>
      </x:c>
      <x:c r="N365" s="1" t="str">
        <x:v>6898be28591c4e1abe73f83f56b307e4</x:v>
      </x:c>
      <x:c r="O365" s="1" t="str">
        <x:v>Admin Office - 1</x:v>
      </x:c>
      <x:c r="P365" s="1" t="n">
        <x:v>2</x:v>
      </x:c>
      <x:c r="Q365" s="1" t="str">
        <x:v>standard_mode_logs</x:v>
      </x:c>
      <x:c r="R365" s="1" t="n">
        <x:v>49</x:v>
      </x:c>
      <x:c r="S365" s="1" t="str">
        <x:v>Successful entry</x:v>
      </x:c>
      <x:c r="T365" s="1" t="n">
        <x:v>1</x:v>
      </x:c>
      <x:c r="U365" s="5" t="str"/>
      <x:c r="V365" s="1" t="n">
        <x:v>1</x:v>
      </x:c>
      <x:c r="W365" s="1" t="n">
        <x:v>1</x:v>
      </x:c>
      <x:c r="X365" s="1" t="str">
        <x:v>GRANTED</x:v>
      </x:c>
      <x:c r="Y365" s="1" t="n">
        <x:f>IF(V365=1,IF(E365="GRANTED",IF(X365="GRANTED",1,0),IF(X365="DENIED",1,0)),0)</x:f>
        <x:v>1</x:v>
      </x:c>
    </x:row>
    <x:row r="366" ht="23" customHeight="1">
      <x:c r="A366" s="9" t="n">
        <x:v>46247.443875682875</x:v>
      </x:c>
      <x:c r="B366" s="1" t="str">
        <x:v>Maria Dela Cruz</x:v>
      </x:c>
      <x:c r="C366" s="1" t="str">
        <x:v>Entry</x:v>
      </x:c>
      <x:c r="D366" s="1" t="str">
        <x:v>Standard</x:v>
      </x:c>
      <x:c r="E366" s="1" t="str">
        <x:v>GRANTED</x:v>
      </x:c>
      <x:c r="F366" s="11" t="n">
        <x:v>11.4906</x:v>
      </x:c>
      <x:c r="G366" s="11" t="n">
        <x:v>1594.5409</x:v>
      </x:c>
      <x:c r="H366" s="11" t="n">
        <x:v>38.9985</x:v>
      </x:c>
      <x:c r="I366" s="11" t="str">
        <x:v>N/A (Bypassed)</x:v>
      </x:c>
      <x:c r="J366" s="11" t="str">
        <x:v>N/A (Bypassed)</x:v>
      </x:c>
      <x:c r="K366" s="11" t="n">
        <x:v>1594.5409</x:v>
      </x:c>
      <x:c r="L366" s="11" t="n">
        <x:v>50.4891</x:v>
      </x:c>
      <x:c r="M366" s="11" t="n">
        <x:v>43.0262</x:v>
      </x:c>
      <x:c r="N366" s="1" t="str">
        <x:v>6898be28591c4e1abe73f83f56b307e4</x:v>
      </x:c>
      <x:c r="O366" s="1" t="str">
        <x:v>Admin Office - 1</x:v>
      </x:c>
      <x:c r="P366" s="1" t="n">
        <x:v>2</x:v>
      </x:c>
      <x:c r="Q366" s="1" t="str">
        <x:v>standard_mode_logs</x:v>
      </x:c>
      <x:c r="R366" s="1" t="n">
        <x:v>50</x:v>
      </x:c>
      <x:c r="S366" s="1" t="str">
        <x:v>Successful entry</x:v>
      </x:c>
      <x:c r="T366" s="1" t="n">
        <x:v>1</x:v>
      </x:c>
      <x:c r="U366" s="5" t="str"/>
      <x:c r="V366" s="1" t="n">
        <x:v>1</x:v>
      </x:c>
      <x:c r="W366" s="1" t="n">
        <x:v>1</x:v>
      </x:c>
      <x:c r="X366" s="1" t="str">
        <x:v>GRANTED</x:v>
      </x:c>
      <x:c r="Y366" s="1" t="n">
        <x:f>IF(V366=1,IF(E366="GRANTED",IF(X366="GRANTED",1,0),IF(X366="DENIED",1,0)),0)</x:f>
        <x:v>1</x:v>
      </x:c>
    </x:row>
    <x:row r="367" ht="23" customHeight="1">
      <x:c r="A367" s="9" t="n">
        <x:v>46247.44381344908</x:v>
      </x:c>
      <x:c r="B367" s="1" t="str">
        <x:v>Basilio Magbanua</x:v>
      </x:c>
      <x:c r="C367" s="1" t="str">
        <x:v>Entry</x:v>
      </x:c>
      <x:c r="D367" s="1" t="str">
        <x:v>Standard</x:v>
      </x:c>
      <x:c r="E367" s="1" t="str">
        <x:v>GRANTED</x:v>
      </x:c>
      <x:c r="F367" s="11" t="n">
        <x:v>10.9793</x:v>
      </x:c>
      <x:c r="G367" s="11" t="n">
        <x:v>1759.1821</x:v>
      </x:c>
      <x:c r="H367" s="11" t="n">
        <x:v>39.5108</x:v>
      </x:c>
      <x:c r="I367" s="11" t="str">
        <x:v>N/A (Bypassed)</x:v>
      </x:c>
      <x:c r="J367" s="11" t="str">
        <x:v>N/A (Bypassed)</x:v>
      </x:c>
      <x:c r="K367" s="11" t="n">
        <x:v>1759.1821</x:v>
      </x:c>
      <x:c r="L367" s="11" t="n">
        <x:v>50.4901</x:v>
      </x:c>
      <x:c r="M367" s="11" t="n">
        <x:v>42.4097</x:v>
      </x:c>
      <x:c r="N367" s="1" t="str">
        <x:v>6898be28591c4e1abe73f83f56b307e4</x:v>
      </x:c>
      <x:c r="O367" s="1" t="str">
        <x:v>Admin Office - 1</x:v>
      </x:c>
      <x:c r="P367" s="1" t="n">
        <x:v>2</x:v>
      </x:c>
      <x:c r="Q367" s="1" t="str">
        <x:v>standard_mode_logs</x:v>
      </x:c>
      <x:c r="R367" s="1" t="n">
        <x:v>51</x:v>
      </x:c>
      <x:c r="S367" s="1" t="str">
        <x:v>Successful entry</x:v>
      </x:c>
      <x:c r="T367" s="1" t="n">
        <x:v>1</x:v>
      </x:c>
      <x:c r="U367" s="5" t="str"/>
      <x:c r="V367" s="1" t="n">
        <x:v>1</x:v>
      </x:c>
      <x:c r="W367" s="1" t="n">
        <x:v>1</x:v>
      </x:c>
      <x:c r="X367" s="1" t="str">
        <x:v>GRANTED</x:v>
      </x:c>
      <x:c r="Y367" s="1" t="n">
        <x:f>IF(V367=1,IF(E367="GRANTED",IF(X367="GRANTED",1,0),IF(X367="DENIED",1,0)),0)</x:f>
        <x:v>1</x:v>
      </x:c>
    </x:row>
    <x:row r="368" ht="23" customHeight="1">
      <x:c r="A368" s="9" t="n">
        <x:v>46247.44374850694</x:v>
      </x:c>
      <x:c r="B368" s="1" t="str">
        <x:v>Bayani Dela Rosa</x:v>
      </x:c>
      <x:c r="C368" s="1" t="str">
        <x:v>Entry</x:v>
      </x:c>
      <x:c r="D368" s="1" t="str">
        <x:v>Standard</x:v>
      </x:c>
      <x:c r="E368" s="1" t="str">
        <x:v>GRANTED</x:v>
      </x:c>
      <x:c r="F368" s="11" t="n">
        <x:v>12.0003</x:v>
      </x:c>
      <x:c r="G368" s="11" t="n">
        <x:v>2803.4283</x:v>
      </x:c>
      <x:c r="H368" s="11" t="n">
        <x:v>38.7247</x:v>
      </x:c>
      <x:c r="I368" s="11" t="str">
        <x:v>N/A (Bypassed)</x:v>
      </x:c>
      <x:c r="J368" s="11" t="str">
        <x:v>N/A (Bypassed)</x:v>
      </x:c>
      <x:c r="K368" s="11" t="n">
        <x:v>2803.4283</x:v>
      </x:c>
      <x:c r="L368" s="11" t="n">
        <x:v>50.725</x:v>
      </x:c>
      <x:c r="M368" s="11" t="n">
        <x:v>42.8773</x:v>
      </x:c>
      <x:c r="N368" s="1" t="str">
        <x:v>6898be28591c4e1abe73f83f56b307e4</x:v>
      </x:c>
      <x:c r="O368" s="1" t="str">
        <x:v>Admin Office - 1</x:v>
      </x:c>
      <x:c r="P368" s="1" t="n">
        <x:v>2</x:v>
      </x:c>
      <x:c r="Q368" s="1" t="str">
        <x:v>standard_mode_logs</x:v>
      </x:c>
      <x:c r="R368" s="1" t="n">
        <x:v>52</x:v>
      </x:c>
      <x:c r="S368" s="1" t="str">
        <x:v>Successful entry</x:v>
      </x:c>
      <x:c r="T368" s="1" t="n">
        <x:v>1</x:v>
      </x:c>
      <x:c r="U368" s="5" t="str"/>
      <x:c r="V368" s="1" t="n">
        <x:v>1</x:v>
      </x:c>
      <x:c r="W368" s="1" t="n">
        <x:v>1</x:v>
      </x:c>
      <x:c r="X368" s="1" t="str">
        <x:v>GRANTED</x:v>
      </x:c>
      <x:c r="Y368" s="1" t="n">
        <x:f>IF(V368=1,IF(E368="GRANTED",IF(X368="GRANTED",1,0),IF(X368="DENIED",1,0)),0)</x:f>
        <x:v>1</x:v>
      </x:c>
    </x:row>
    <x:row r="369" ht="23" customHeight="1">
      <x:c r="A369" s="9" t="n">
        <x:v>46247.44366503472</x:v>
      </x:c>
      <x:c r="B369" s="1" t="str">
        <x:v>Jose Mari Bautista</x:v>
      </x:c>
      <x:c r="C369" s="1" t="str">
        <x:v>Entry</x:v>
      </x:c>
      <x:c r="D369" s="1" t="str">
        <x:v>Standard</x:v>
      </x:c>
      <x:c r="E369" s="1" t="str">
        <x:v>GRANTED</x:v>
      </x:c>
      <x:c r="F369" s="11" t="n">
        <x:v>46.4481</x:v>
      </x:c>
      <x:c r="G369" s="11" t="n">
        <x:v>1539.9334</x:v>
      </x:c>
      <x:c r="H369" s="11" t="n">
        <x:v>37.7854</x:v>
      </x:c>
      <x:c r="I369" s="11" t="str">
        <x:v>N/A (Bypassed)</x:v>
      </x:c>
      <x:c r="J369" s="11" t="str">
        <x:v>N/A (Bypassed)</x:v>
      </x:c>
      <x:c r="K369" s="11" t="n">
        <x:v>1539.9334</x:v>
      </x:c>
      <x:c r="L369" s="11" t="n">
        <x:v>84.2335</x:v>
      </x:c>
      <x:c r="M369" s="11" t="n">
        <x:v>41.1021</x:v>
      </x:c>
      <x:c r="N369" s="1" t="str">
        <x:v>6898be28591c4e1abe73f83f56b307e4</x:v>
      </x:c>
      <x:c r="O369" s="1" t="str">
        <x:v>Admin Office - 1</x:v>
      </x:c>
      <x:c r="P369" s="1" t="n">
        <x:v>2</x:v>
      </x:c>
      <x:c r="Q369" s="1" t="str">
        <x:v>standard_mode_logs</x:v>
      </x:c>
      <x:c r="R369" s="1" t="n">
        <x:v>53</x:v>
      </x:c>
      <x:c r="S369" s="1" t="str">
        <x:v>Successful entry</x:v>
      </x:c>
      <x:c r="T369" s="1" t="n">
        <x:v>1</x:v>
      </x:c>
      <x:c r="U369" s="5" t="str"/>
      <x:c r="V369" s="1" t="n">
        <x:v>1</x:v>
      </x:c>
      <x:c r="W369" s="1" t="n">
        <x:v>1</x:v>
      </x:c>
      <x:c r="X369" s="1" t="str">
        <x:v>GRANTED</x:v>
      </x:c>
      <x:c r="Y369" s="1" t="n">
        <x:f>IF(V369=1,IF(E369="GRANTED",IF(X369="GRANTED",1,0),IF(X369="DENIED",1,0)),0)</x:f>
        <x:v>1</x:v>
      </x:c>
    </x:row>
    <x:row r="370" ht="23" customHeight="1">
      <x:c r="A370" s="9" t="n">
        <x:v>46247.443597997684</x:v>
      </x:c>
      <x:c r="B370" s="1" t="str">
        <x:v>Angelito Fernandez</x:v>
      </x:c>
      <x:c r="C370" s="1" t="str">
        <x:v>Entry</x:v>
      </x:c>
      <x:c r="D370" s="1" t="str">
        <x:v>Standard</x:v>
      </x:c>
      <x:c r="E370" s="1" t="str">
        <x:v>GRANTED</x:v>
      </x:c>
      <x:c r="F370" s="11" t="n">
        <x:v>11.4465</x:v>
      </x:c>
      <x:c r="G370" s="11" t="n">
        <x:v>1430.6563</x:v>
      </x:c>
      <x:c r="H370" s="11" t="n">
        <x:v>73.3417</x:v>
      </x:c>
      <x:c r="I370" s="11" t="str">
        <x:v>N/A (Bypassed)</x:v>
      </x:c>
      <x:c r="J370" s="11" t="str">
        <x:v>N/A (Bypassed)</x:v>
      </x:c>
      <x:c r="K370" s="11" t="n">
        <x:v>1430.6563</x:v>
      </x:c>
      <x:c r="L370" s="11" t="n">
        <x:v>84.7882</x:v>
      </x:c>
      <x:c r="M370" s="11" t="n">
        <x:v>76.7779</x:v>
      </x:c>
      <x:c r="N370" s="1" t="str">
        <x:v>6898be28591c4e1abe73f83f56b307e4</x:v>
      </x:c>
      <x:c r="O370" s="1" t="str">
        <x:v>Admin Office - 1</x:v>
      </x:c>
      <x:c r="P370" s="1" t="n">
        <x:v>2</x:v>
      </x:c>
      <x:c r="Q370" s="1" t="str">
        <x:v>standard_mode_logs</x:v>
      </x:c>
      <x:c r="R370" s="1" t="n">
        <x:v>54</x:v>
      </x:c>
      <x:c r="S370" s="1" t="str">
        <x:v>Successful entry</x:v>
      </x:c>
      <x:c r="T370" s="1" t="n">
        <x:v>1</x:v>
      </x:c>
      <x:c r="U370" s="5" t="str"/>
      <x:c r="V370" s="1" t="n">
        <x:v>1</x:v>
      </x:c>
      <x:c r="W370" s="1" t="n">
        <x:v>1</x:v>
      </x:c>
      <x:c r="X370" s="1" t="str">
        <x:v>GRANTED</x:v>
      </x:c>
      <x:c r="Y370" s="1" t="n">
        <x:f>IF(V370=1,IF(E370="GRANTED",IF(X370="GRANTED",1,0),IF(X370="DENIED",1,0)),0)</x:f>
        <x:v>1</x:v>
      </x:c>
    </x:row>
    <x:row r="371" ht="23" customHeight="1">
      <x:c r="A371" s="9" t="n">
        <x:v>46247.44354386574</x:v>
      </x:c>
      <x:c r="B371" s="1" t="str">
        <x:v>Roberto Ramos</x:v>
      </x:c>
      <x:c r="C371" s="1" t="str">
        <x:v>Entry</x:v>
      </x:c>
      <x:c r="D371" s="1" t="str">
        <x:v>Standard</x:v>
      </x:c>
      <x:c r="E371" s="1" t="str">
        <x:v>GRANTED</x:v>
      </x:c>
      <x:c r="F371" s="11" t="n">
        <x:v>11.0462</x:v>
      </x:c>
      <x:c r="G371" s="11" t="n">
        <x:v>1924.5115</x:v>
      </x:c>
      <x:c r="H371" s="11" t="n">
        <x:v>67.8064</x:v>
      </x:c>
      <x:c r="I371" s="11" t="str">
        <x:v>N/A (Bypassed)</x:v>
      </x:c>
      <x:c r="J371" s="11" t="str">
        <x:v>N/A (Bypassed)</x:v>
      </x:c>
      <x:c r="K371" s="11" t="n">
        <x:v>1924.5115</x:v>
      </x:c>
      <x:c r="L371" s="11" t="n">
        <x:v>78.8526</x:v>
      </x:c>
      <x:c r="M371" s="11" t="n">
        <x:v>70.9699</x:v>
      </x:c>
      <x:c r="N371" s="1" t="str">
        <x:v>6898be28591c4e1abe73f83f56b307e4</x:v>
      </x:c>
      <x:c r="O371" s="1" t="str">
        <x:v>Admin Office - 1</x:v>
      </x:c>
      <x:c r="P371" s="1" t="n">
        <x:v>2</x:v>
      </x:c>
      <x:c r="Q371" s="1" t="str">
        <x:v>standard_mode_logs</x:v>
      </x:c>
      <x:c r="R371" s="1" t="n">
        <x:v>55</x:v>
      </x:c>
      <x:c r="S371" s="1" t="str">
        <x:v>Successful entry</x:v>
      </x:c>
      <x:c r="T371" s="1" t="n">
        <x:v>1</x:v>
      </x:c>
      <x:c r="U371" s="5" t="str"/>
      <x:c r="V371" s="1" t="n">
        <x:v>1</x:v>
      </x:c>
      <x:c r="W371" s="1" t="n">
        <x:v>1</x:v>
      </x:c>
      <x:c r="X371" s="1" t="str">
        <x:v>GRANTED</x:v>
      </x:c>
      <x:c r="Y371" s="1" t="n">
        <x:f>IF(V371=1,IF(E371="GRANTED",IF(X371="GRANTED",1,0),IF(X371="DENIED",1,0)),0)</x:f>
        <x:v>1</x:v>
      </x:c>
    </x:row>
    <x:row r="372" ht="23" customHeight="1">
      <x:c r="A372" s="12" t="n">
        <x:v>46247.443465324075</x:v>
      </x:c>
      <x:c r="B372" s="13" t="str">
        <x:v>Juanito Delos Santos</x:v>
      </x:c>
      <x:c r="C372" s="13" t="str">
        <x:v>Entry</x:v>
      </x:c>
      <x:c r="D372" s="13" t="str">
        <x:v>Standard</x:v>
      </x:c>
      <x:c r="E372" s="13" t="str">
        <x:v>DENIED [ANTI_TAILGATING_VIOLATION]</x:v>
      </x:c>
      <x:c r="F372" s="14" t="n">
        <x:v>3.9237</x:v>
      </x:c>
      <x:c r="G372" s="14" t="str">
        <x:v>N/A (Bypassed)</x:v>
      </x:c>
      <x:c r="H372" s="14" t="str">
        <x:v>N/A (Bypassed)</x:v>
      </x:c>
      <x:c r="I372" s="14" t="str">
        <x:v>N/A (Bypassed)</x:v>
      </x:c>
      <x:c r="J372" s="14" t="str">
        <x:v>N/A (Bypassed)</x:v>
      </x:c>
      <x:c r="K372" s="14" t="str">
        <x:v>N/A</x:v>
      </x:c>
      <x:c r="L372" s="14" t="n">
        <x:v>3.9237</x:v>
      </x:c>
      <x:c r="M372" s="14" t="n">
        <x:v>3.33</x:v>
      </x:c>
      <x:c r="N372" s="13" t="str">
        <x:v>6898be28591c4e1abe73f83f56b307e4</x:v>
      </x:c>
      <x:c r="O372" s="13" t="str">
        <x:v>Admin Office - 1</x:v>
      </x:c>
      <x:c r="P372" s="13" t="n">
        <x:v>2</x:v>
      </x:c>
      <x:c r="Q372" s="13" t="str">
        <x:v>standard_mode_logs</x:v>
      </x:c>
      <x:c r="R372" s="13" t="n">
        <x:v>56</x:v>
      </x:c>
      <x:c r="S372" s="13" t="str">
        <x:v>Denied record</x:v>
      </x:c>
      <x:c r="T372" s="13"/>
      <x:c r="U372" s="15" t="str"/>
      <x:c r="V372" s="1" t="n">
        <x:v>0</x:v>
      </x:c>
      <x:c r="W372" s="1" t="n">
        <x:v>0</x:v>
      </x:c>
      <x:c r="X372" s="1" t="str">
        <x:v>Not applicable</x:v>
      </x:c>
      <x:c r="Y372" s="1" t="n">
        <x:f>IF(V372=1,IF(E372="GRANTED",IF(X372="GRANTED",1,0),IF(X372="DENIED",1,0)),0)</x:f>
        <x:v>0</x:v>
      </x:c>
    </x:row>
    <x:row r="373" ht="23" customHeight="1">
      <x:c r="A373" s="9" t="n">
        <x:v>46247.44344180556</x:v>
      </x:c>
      <x:c r="B373" s="1" t="str">
        <x:v>Juanito Delos Santos</x:v>
      </x:c>
      <x:c r="C373" s="1" t="str">
        <x:v>Entry</x:v>
      </x:c>
      <x:c r="D373" s="1" t="str">
        <x:v>Standard</x:v>
      </x:c>
      <x:c r="E373" s="1" t="str">
        <x:v>GRANTED</x:v>
      </x:c>
      <x:c r="F373" s="11" t="n">
        <x:v>13.7178</x:v>
      </x:c>
      <x:c r="G373" s="11" t="n">
        <x:v>1540.8743</x:v>
      </x:c>
      <x:c r="H373" s="11" t="n">
        <x:v>39.7763</x:v>
      </x:c>
      <x:c r="I373" s="11" t="str">
        <x:v>N/A (Bypassed)</x:v>
      </x:c>
      <x:c r="J373" s="11" t="str">
        <x:v>N/A (Bypassed)</x:v>
      </x:c>
      <x:c r="K373" s="11" t="n">
        <x:v>1540.8743</x:v>
      </x:c>
      <x:c r="L373" s="11" t="n">
        <x:v>53.4941</x:v>
      </x:c>
      <x:c r="M373" s="11" t="n">
        <x:v>45.4338</x:v>
      </x:c>
      <x:c r="N373" s="1" t="str">
        <x:v>6898be28591c4e1abe73f83f56b307e4</x:v>
      </x:c>
      <x:c r="O373" s="1" t="str">
        <x:v>Admin Office - 1</x:v>
      </x:c>
      <x:c r="P373" s="1" t="n">
        <x:v>2</x:v>
      </x:c>
      <x:c r="Q373" s="1" t="str">
        <x:v>standard_mode_logs</x:v>
      </x:c>
      <x:c r="R373" s="1" t="n">
        <x:v>57</x:v>
      </x:c>
      <x:c r="S373" s="1" t="str">
        <x:v>Successful entry</x:v>
      </x:c>
      <x:c r="T373" s="1" t="n">
        <x:v>1</x:v>
      </x:c>
      <x:c r="U373" s="5" t="str"/>
      <x:c r="V373" s="1" t="n">
        <x:v>1</x:v>
      </x:c>
      <x:c r="W373" s="1" t="n">
        <x:v>1</x:v>
      </x:c>
      <x:c r="X373" s="1" t="str">
        <x:v>GRANTED</x:v>
      </x:c>
      <x:c r="Y373" s="1" t="n">
        <x:f>IF(V373=1,IF(E373="GRANTED",IF(X373="GRANTED",1,0),IF(X373="DENIED",1,0)),0)</x:f>
        <x:v>1</x:v>
      </x:c>
    </x:row>
    <x:row r="374" ht="23" customHeight="1">
      <x:c r="A374" s="9" t="n">
        <x:v>46247.44335195602</x:v>
      </x:c>
      <x:c r="B374" s="1" t="str">
        <x:v>[TEMP] Manuel Mendoza</x:v>
      </x:c>
      <x:c r="C374" s="1" t="str">
        <x:v>Entry</x:v>
      </x:c>
      <x:c r="D374" s="1" t="str">
        <x:v>Standard</x:v>
      </x:c>
      <x:c r="E374" s="1" t="str">
        <x:v>GRANTED</x:v>
      </x:c>
      <x:c r="F374" s="11" t="n">
        <x:v>7.5006</x:v>
      </x:c>
      <x:c r="G374" s="11" t="n">
        <x:v>1979.9161</x:v>
      </x:c>
      <x:c r="H374" s="11" t="n">
        <x:v>37.0529</x:v>
      </x:c>
      <x:c r="I374" s="11" t="str">
        <x:v>N/A (Bypassed)</x:v>
      </x:c>
      <x:c r="J374" s="11" t="str">
        <x:v>N/A (Bypassed)</x:v>
      </x:c>
      <x:c r="K374" s="11" t="n">
        <x:v>1979.9161</x:v>
      </x:c>
      <x:c r="L374" s="11" t="n">
        <x:v>44.5535</x:v>
      </x:c>
      <x:c r="M374" s="11" t="n">
        <x:v>37.6276</x:v>
      </x:c>
      <x:c r="N374" s="1" t="str">
        <x:v>6898be28591c4e1abe73f83f56b307e4</x:v>
      </x:c>
      <x:c r="O374" s="1" t="str">
        <x:v>Admin Office - 1</x:v>
      </x:c>
      <x:c r="P374" s="1" t="n">
        <x:v>2</x:v>
      </x:c>
      <x:c r="Q374" s="1" t="str">
        <x:v>standard_mode_logs</x:v>
      </x:c>
      <x:c r="R374" s="1" t="n">
        <x:v>58</x:v>
      </x:c>
      <x:c r="S374" s="1" t="str">
        <x:v>Successful entry</x:v>
      </x:c>
      <x:c r="T374" s="1" t="n">
        <x:v>1</x:v>
      </x:c>
      <x:c r="U374" s="5" t="str"/>
      <x:c r="V374" s="1" t="n">
        <x:v>1</x:v>
      </x:c>
      <x:c r="W374" s="1" t="n">
        <x:v>1</x:v>
      </x:c>
      <x:c r="X374" s="1" t="str">
        <x:v>GRANTED</x:v>
      </x:c>
      <x:c r="Y374" s="1" t="n">
        <x:f>IF(V374=1,IF(E374="GRANTED",IF(X374="GRANTED",1,0),IF(X374="DENIED",1,0)),0)</x:f>
        <x:v>1</x:v>
      </x:c>
    </x:row>
    <x:row r="375" ht="23" customHeight="1">
      <x:c r="A375" s="9" t="n">
        <x:v>46247.44325023148</x:v>
      </x:c>
      <x:c r="B375" s="1" t="str">
        <x:v>Francisco Garcia</x:v>
      </x:c>
      <x:c r="C375" s="1" t="str">
        <x:v>Entry</x:v>
      </x:c>
      <x:c r="D375" s="1" t="str">
        <x:v>Standard</x:v>
      </x:c>
      <x:c r="E375" s="1" t="str">
        <x:v>GRANTED</x:v>
      </x:c>
      <x:c r="F375" s="11" t="n">
        <x:v>15.9194</x:v>
      </x:c>
      <x:c r="G375" s="11" t="n">
        <x:v>2584.1578</x:v>
      </x:c>
      <x:c r="H375" s="11" t="n">
        <x:v>38.7511</x:v>
      </x:c>
      <x:c r="I375" s="11" t="str">
        <x:v>N/A (Bypassed)</x:v>
      </x:c>
      <x:c r="J375" s="11" t="str">
        <x:v>N/A (Bypassed)</x:v>
      </x:c>
      <x:c r="K375" s="11" t="n">
        <x:v>2584.1578</x:v>
      </x:c>
      <x:c r="L375" s="11" t="n">
        <x:v>54.6705</x:v>
      </x:c>
      <x:c r="M375" s="11" t="n">
        <x:v>41.683</x:v>
      </x:c>
      <x:c r="N375" s="1" t="str">
        <x:v>6898be28591c4e1abe73f83f56b307e4</x:v>
      </x:c>
      <x:c r="O375" s="1" t="str">
        <x:v>Admin Office - 1</x:v>
      </x:c>
      <x:c r="P375" s="1" t="n">
        <x:v>2</x:v>
      </x:c>
      <x:c r="Q375" s="1" t="str">
        <x:v>standard_mode_logs</x:v>
      </x:c>
      <x:c r="R375" s="1" t="n">
        <x:v>59</x:v>
      </x:c>
      <x:c r="S375" s="1" t="str">
        <x:v>Successful entry</x:v>
      </x:c>
      <x:c r="T375" s="1" t="n">
        <x:v>1</x:v>
      </x:c>
      <x:c r="U375" s="5" t="str"/>
      <x:c r="V375" s="1" t="n">
        <x:v>1</x:v>
      </x:c>
      <x:c r="W375" s="1" t="n">
        <x:v>1</x:v>
      </x:c>
      <x:c r="X375" s="1" t="str">
        <x:v>GRANTED</x:v>
      </x:c>
      <x:c r="Y375" s="1" t="n">
        <x:f>IF(V375=1,IF(E375="GRANTED",IF(X375="GRANTED",1,0),IF(X375="DENIED",1,0)),0)</x:f>
        <x:v>1</x:v>
      </x:c>
    </x:row>
    <x:row r="376" ht="23" customHeight="1">
      <x:c r="A376" s="12" t="n">
        <x:v>46247.443076111114</x:v>
      </x:c>
      <x:c r="B376" s="13" t="str">
        <x:v>Francisco Garcia</x:v>
      </x:c>
      <x:c r="C376" s="13" t="str">
        <x:v>Entry</x:v>
      </x:c>
      <x:c r="D376" s="13" t="str">
        <x:v>Standard</x:v>
      </x:c>
      <x:c r="E376" s="13" t="str">
        <x:v>DENIED [PIN_LOCKED]</x:v>
      </x:c>
      <x:c r="F376" s="14" t="n">
        <x:v>10.4252</x:v>
      </x:c>
      <x:c r="G376" s="14" t="str">
        <x:v>N/A (Bypassed)</x:v>
      </x:c>
      <x:c r="H376" s="14" t="str">
        <x:v>N/A (Bypassed)</x:v>
      </x:c>
      <x:c r="I376" s="14" t="str">
        <x:v>N/A (Bypassed)</x:v>
      </x:c>
      <x:c r="J376" s="14" t="str">
        <x:v>N/A (Bypassed)</x:v>
      </x:c>
      <x:c r="K376" s="14" t="n">
        <x:v>2585.2166</x:v>
      </x:c>
      <x:c r="L376" s="14" t="n">
        <x:v>51.7469</x:v>
      </x:c>
      <x:c r="M376" s="14" t="n">
        <x:v>121.1932</x:v>
      </x:c>
      <x:c r="N376" s="13" t="str">
        <x:v>6898be28591c4e1abe73f83f56b307e4</x:v>
      </x:c>
      <x:c r="O376" s="13" t="str">
        <x:v>Admin Office - 1</x:v>
      </x:c>
      <x:c r="P376" s="13" t="n">
        <x:v>2</x:v>
      </x:c>
      <x:c r="Q376" s="13" t="str">
        <x:v>standard_mode_logs</x:v>
      </x:c>
      <x:c r="R376" s="13" t="n">
        <x:v>60</x:v>
      </x:c>
      <x:c r="S376" s="13" t="str">
        <x:v>Denied record</x:v>
      </x:c>
      <x:c r="T376" s="13"/>
      <x:c r="U376" s="15" t="str">
        <x:v>PIN_LOCKED: totals include PIN time hidden as N/A in original component fields.</x:v>
      </x:c>
      <x:c r="V376" s="1" t="n">
        <x:v>1</x:v>
      </x:c>
      <x:c r="W376" s="1" t="n">
        <x:v>1</x:v>
      </x:c>
      <x:c r="X376" s="1" t="str">
        <x:v>DENIED</x:v>
      </x:c>
      <x:c r="Y376" s="1" t="n">
        <x:f>IF(V376=1,IF(E376="GRANTED",IF(X376="GRANTED",1,0),IF(X376="DENIED",1,0)),0)</x:f>
        <x:v>1</x:v>
      </x:c>
    </x:row>
    <x:row r="377" ht="23" customHeight="1">
      <x:c r="A377" s="12" t="n">
        <x:v>46247.44302145833</x:v>
      </x:c>
      <x:c r="B377" s="13" t="str">
        <x:v>Francisco Garcia</x:v>
      </x:c>
      <x:c r="C377" s="13" t="str">
        <x:v>Entry</x:v>
      </x:c>
      <x:c r="D377" s="13" t="str">
        <x:v>Standard</x:v>
      </x:c>
      <x:c r="E377" s="13" t="str">
        <x:v>DENIED [PIN_FAILURE]</x:v>
      </x:c>
      <x:c r="F377" s="14" t="n">
        <x:v>10.4252</x:v>
      </x:c>
      <x:c r="G377" s="14" t="n">
        <x:v>1814.9876</x:v>
      </x:c>
      <x:c r="H377" s="14" t="n">
        <x:v>38.7284</x:v>
      </x:c>
      <x:c r="I377" s="14" t="str">
        <x:v>N/A (Bypassed)</x:v>
      </x:c>
      <x:c r="J377" s="14" t="str">
        <x:v>N/A (Bypassed)</x:v>
      </x:c>
      <x:c r="K377" s="14" t="n">
        <x:v>1814.9876</x:v>
      </x:c>
      <x:c r="L377" s="14" t="n">
        <x:v>49.1536</x:v>
      </x:c>
      <x:c r="M377" s="14" t="n">
        <x:v>82.201</x:v>
      </x:c>
      <x:c r="N377" s="13" t="str">
        <x:v>6898be28591c4e1abe73f83f56b307e4</x:v>
      </x:c>
      <x:c r="O377" s="13" t="str">
        <x:v>Admin Office - 1</x:v>
      </x:c>
      <x:c r="P377" s="13" t="n">
        <x:v>2</x:v>
      </x:c>
      <x:c r="Q377" s="13" t="str">
        <x:v>standard_mode_logs</x:v>
      </x:c>
      <x:c r="R377" s="13" t="n">
        <x:v>61</x:v>
      </x:c>
      <x:c r="S377" s="13" t="str">
        <x:v>Denied record</x:v>
      </x:c>
      <x:c r="T377" s="13"/>
      <x:c r="U377" s="15" t="str"/>
      <x:c r="V377" s="1" t="n">
        <x:v>1</x:v>
      </x:c>
      <x:c r="W377" s="1" t="n">
        <x:v>1</x:v>
      </x:c>
      <x:c r="X377" s="1" t="str">
        <x:v>DENIED</x:v>
      </x:c>
      <x:c r="Y377" s="1" t="n">
        <x:f>IF(V377=1,IF(E377="GRANTED",IF(X377="GRANTED",1,0),IF(X377="DENIED",1,0)),0)</x:f>
        <x:v>1</x:v>
      </x:c>
    </x:row>
    <x:row r="378" ht="23" customHeight="1">
      <x:c r="A378" s="12" t="n">
        <x:v>46247.44298070602</x:v>
      </x:c>
      <x:c r="B378" s="13" t="str">
        <x:v>Francisco Garcia</x:v>
      </x:c>
      <x:c r="C378" s="13" t="str">
        <x:v>Entry</x:v>
      </x:c>
      <x:c r="D378" s="13" t="str">
        <x:v>Standard</x:v>
      </x:c>
      <x:c r="E378" s="13" t="str">
        <x:v>DENIED [PIN_FAILURE]</x:v>
      </x:c>
      <x:c r="F378" s="14" t="n">
        <x:v>10.4252</x:v>
      </x:c>
      <x:c r="G378" s="14" t="n">
        <x:v>1264.4779</x:v>
      </x:c>
      <x:c r="H378" s="14" t="n">
        <x:v>40.6653</x:v>
      </x:c>
      <x:c r="I378" s="14" t="str">
        <x:v>N/A (Bypassed)</x:v>
      </x:c>
      <x:c r="J378" s="14" t="str">
        <x:v>N/A (Bypassed)</x:v>
      </x:c>
      <x:c r="K378" s="14" t="n">
        <x:v>1264.4779</x:v>
      </x:c>
      <x:c r="L378" s="14" t="n">
        <x:v>51.0905</x:v>
      </x:c>
      <x:c r="M378" s="14" t="n">
        <x:v>43.4964</x:v>
      </x:c>
      <x:c r="N378" s="13" t="str">
        <x:v>6898be28591c4e1abe73f83f56b307e4</x:v>
      </x:c>
      <x:c r="O378" s="13" t="str">
        <x:v>Admin Office - 1</x:v>
      </x:c>
      <x:c r="P378" s="13" t="n">
        <x:v>2</x:v>
      </x:c>
      <x:c r="Q378" s="13" t="str">
        <x:v>standard_mode_logs</x:v>
      </x:c>
      <x:c r="R378" s="13" t="n">
        <x:v>62</x:v>
      </x:c>
      <x:c r="S378" s="13" t="str">
        <x:v>Denied record</x:v>
      </x:c>
      <x:c r="T378" s="13"/>
      <x:c r="U378" s="15" t="str"/>
      <x:c r="V378" s="1" t="n">
        <x:v>1</x:v>
      </x:c>
      <x:c r="W378" s="1" t="n">
        <x:v>1</x:v>
      </x:c>
      <x:c r="X378" s="1" t="str">
        <x:v>DENIED</x:v>
      </x:c>
      <x:c r="Y378" s="1" t="n">
        <x:f>IF(V378=1,IF(E378="GRANTED",IF(X378="GRANTED",1,0),IF(X378="DENIED",1,0)),0)</x:f>
        <x:v>1</x:v>
      </x:c>
    </x:row>
    <x:row r="379" ht="23" customHeight="1">
      <x:c r="A379" s="9" t="n">
        <x:v>46247.44291254629</x:v>
      </x:c>
      <x:c r="B379" s="1" t="str">
        <x:v>[TEMP] Pedro Reyes</x:v>
      </x:c>
      <x:c r="C379" s="1" t="str">
        <x:v>Entry</x:v>
      </x:c>
      <x:c r="D379" s="1" t="str">
        <x:v>Standard</x:v>
      </x:c>
      <x:c r="E379" s="1" t="str">
        <x:v>GRANTED</x:v>
      </x:c>
      <x:c r="F379" s="11" t="n">
        <x:v>11.556</x:v>
      </x:c>
      <x:c r="G379" s="11" t="n">
        <x:v>1815.4122</x:v>
      </x:c>
      <x:c r="H379" s="11" t="n">
        <x:v>40.0716</x:v>
      </x:c>
      <x:c r="I379" s="11" t="str">
        <x:v>N/A (Bypassed)</x:v>
      </x:c>
      <x:c r="J379" s="11" t="str">
        <x:v>N/A (Bypassed)</x:v>
      </x:c>
      <x:c r="K379" s="11" t="n">
        <x:v>1815.4122</x:v>
      </x:c>
      <x:c r="L379" s="11" t="n">
        <x:v>51.6276</x:v>
      </x:c>
      <x:c r="M379" s="11" t="n">
        <x:v>43.219</x:v>
      </x:c>
      <x:c r="N379" s="1" t="str">
        <x:v>6898be28591c4e1abe73f83f56b307e4</x:v>
      </x:c>
      <x:c r="O379" s="1" t="str">
        <x:v>Admin Office - 1</x:v>
      </x:c>
      <x:c r="P379" s="1" t="n">
        <x:v>2</x:v>
      </x:c>
      <x:c r="Q379" s="1" t="str">
        <x:v>standard_mode_logs</x:v>
      </x:c>
      <x:c r="R379" s="1" t="n">
        <x:v>63</x:v>
      </x:c>
      <x:c r="S379" s="1" t="str">
        <x:v>Successful entry</x:v>
      </x:c>
      <x:c r="T379" s="1" t="n">
        <x:v>1</x:v>
      </x:c>
      <x:c r="U379" s="5" t="str"/>
      <x:c r="V379" s="1" t="n">
        <x:v>1</x:v>
      </x:c>
      <x:c r="W379" s="1" t="n">
        <x:v>1</x:v>
      </x:c>
      <x:c r="X379" s="1" t="str">
        <x:v>GRANTED</x:v>
      </x:c>
      <x:c r="Y379" s="1" t="n">
        <x:f>IF(V379=1,IF(E379="GRANTED",IF(X379="GRANTED",1,0),IF(X379="DENIED",1,0)),0)</x:f>
        <x:v>1</x:v>
      </x:c>
    </x:row>
    <x:row r="380" ht="23" customHeight="1">
      <x:c r="A380" s="9" t="n">
        <x:v>46247.44284560185</x:v>
      </x:c>
      <x:c r="B380" s="1" t="str">
        <x:v>[TEMP] Jose Santos</x:v>
      </x:c>
      <x:c r="C380" s="1" t="str">
        <x:v>Entry</x:v>
      </x:c>
      <x:c r="D380" s="1" t="str">
        <x:v>Standard</x:v>
      </x:c>
      <x:c r="E380" s="1" t="str">
        <x:v>GRANTED</x:v>
      </x:c>
      <x:c r="F380" s="11" t="n">
        <x:v>10.6516</x:v>
      </x:c>
      <x:c r="G380" s="11" t="n">
        <x:v>2254.8992</x:v>
      </x:c>
      <x:c r="H380" s="11" t="n">
        <x:v>39.5814</x:v>
      </x:c>
      <x:c r="I380" s="11" t="str">
        <x:v>N/A (Bypassed)</x:v>
      </x:c>
      <x:c r="J380" s="11" t="str">
        <x:v>N/A (Bypassed)</x:v>
      </x:c>
      <x:c r="K380" s="11" t="n">
        <x:v>2254.8992</x:v>
      </x:c>
      <x:c r="L380" s="11" t="n">
        <x:v>50.233</x:v>
      </x:c>
      <x:c r="M380" s="11" t="n">
        <x:v>42.8276</x:v>
      </x:c>
      <x:c r="N380" s="1" t="str">
        <x:v>6898be28591c4e1abe73f83f56b307e4</x:v>
      </x:c>
      <x:c r="O380" s="1" t="str">
        <x:v>Admin Office - 1</x:v>
      </x:c>
      <x:c r="P380" s="1" t="n">
        <x:v>2</x:v>
      </x:c>
      <x:c r="Q380" s="1" t="str">
        <x:v>standard_mode_logs</x:v>
      </x:c>
      <x:c r="R380" s="1" t="n">
        <x:v>64</x:v>
      </x:c>
      <x:c r="S380" s="1" t="str">
        <x:v>Successful entry</x:v>
      </x:c>
      <x:c r="T380" s="1" t="n">
        <x:v>1</x:v>
      </x:c>
      <x:c r="U380" s="5" t="str"/>
      <x:c r="V380" s="1" t="n">
        <x:v>1</x:v>
      </x:c>
      <x:c r="W380" s="1" t="n">
        <x:v>1</x:v>
      </x:c>
      <x:c r="X380" s="1" t="str">
        <x:v>GRANTED</x:v>
      </x:c>
      <x:c r="Y380" s="1" t="n">
        <x:f>IF(V380=1,IF(E380="GRANTED",IF(X380="GRANTED",1,0),IF(X380="DENIED",1,0)),0)</x:f>
        <x:v>1</x:v>
      </x:c>
    </x:row>
    <x:row r="381" ht="23" customHeight="1">
      <x:c r="A381" s="9" t="n">
        <x:v>46247.442760405094</x:v>
      </x:c>
      <x:c r="B381" s="1" t="str">
        <x:v>[TEMP] Juan Dela Cruz</x:v>
      </x:c>
      <x:c r="C381" s="1" t="str">
        <x:v>Entry</x:v>
      </x:c>
      <x:c r="D381" s="1" t="str">
        <x:v>Standard</x:v>
      </x:c>
      <x:c r="E381" s="1" t="str">
        <x:v>GRANTED</x:v>
      </x:c>
      <x:c r="F381" s="11" t="n">
        <x:v>37.9325</x:v>
      </x:c>
      <x:c r="G381" s="11" t="n">
        <x:v>1980.539</x:v>
      </x:c>
      <x:c r="H381" s="11" t="n">
        <x:v>38.7839</x:v>
      </x:c>
      <x:c r="I381" s="11" t="str">
        <x:v>N/A (Bypassed)</x:v>
      </x:c>
      <x:c r="J381" s="11" t="str">
        <x:v>N/A (Bypassed)</x:v>
      </x:c>
      <x:c r="K381" s="11" t="n">
        <x:v>1980.539</x:v>
      </x:c>
      <x:c r="L381" s="11" t="n">
        <x:v>76.7164</x:v>
      </x:c>
      <x:c r="M381" s="11" t="n">
        <x:v>39.5703</x:v>
      </x:c>
      <x:c r="N381" s="1" t="str">
        <x:v>6898be28591c4e1abe73f83f56b307e4</x:v>
      </x:c>
      <x:c r="O381" s="1" t="str">
        <x:v>Admin Office - 1</x:v>
      </x:c>
      <x:c r="P381" s="1" t="n">
        <x:v>2</x:v>
      </x:c>
      <x:c r="Q381" s="1" t="str">
        <x:v>standard_mode_logs</x:v>
      </x:c>
      <x:c r="R381" s="1" t="n">
        <x:v>65</x:v>
      </x:c>
      <x:c r="S381" s="1" t="str">
        <x:v>Successful entry</x:v>
      </x:c>
      <x:c r="T381" s="1" t="n">
        <x:v>1</x:v>
      </x:c>
      <x:c r="U381" s="5" t="str"/>
      <x:c r="V381" s="1" t="n">
        <x:v>1</x:v>
      </x:c>
      <x:c r="W381" s="1" t="n">
        <x:v>1</x:v>
      </x:c>
      <x:c r="X381" s="1" t="str">
        <x:v>GRANTED</x:v>
      </x:c>
      <x:c r="Y381" s="1" t="n">
        <x:f>IF(V381=1,IF(E381="GRANTED",IF(X381="GRANTED",1,0),IF(X381="DENIED",1,0)),0)</x:f>
        <x:v>1</x:v>
      </x:c>
    </x:row>
    <x:row r="382" ht="23" customHeight="1">
      <x:c r="A382" s="9" t="n">
        <x:v>46247.45270940972</x:v>
      </x:c>
      <x:c r="B382" s="1" t="str">
        <x:v>Bayani Dela Rosa</x:v>
      </x:c>
      <x:c r="C382" s="1" t="str">
        <x:v>Exit</x:v>
      </x:c>
      <x:c r="D382" s="1" t="str">
        <x:v>HighSecurity</x:v>
      </x:c>
      <x:c r="E382" s="1" t="str">
        <x:v>GRANTED</x:v>
      </x:c>
      <x:c r="F382" s="11" t="n">
        <x:v>11.0837</x:v>
      </x:c>
      <x:c r="G382" s="11" t="str">
        <x:v>N/A (Bypassed)</x:v>
      </x:c>
      <x:c r="H382" s="11" t="str">
        <x:v>N/A (Bypassed)</x:v>
      </x:c>
      <x:c r="I382" s="11" t="str">
        <x:v>N/A (Bypassed)</x:v>
      </x:c>
      <x:c r="J382" s="11" t="str">
        <x:v>N/A (Bypassed)</x:v>
      </x:c>
      <x:c r="K382" s="11" t="str">
        <x:v>N/A</x:v>
      </x:c>
      <x:c r="L382" s="11" t="n">
        <x:v>11.0837</x:v>
      </x:c>
      <x:c r="M382" s="11" t="n">
        <x:v>3.0579</x:v>
      </x:c>
      <x:c r="N382" s="1" t="str">
        <x:v>6898be28591c4e1abe73f83f56b307e4</x:v>
      </x:c>
      <x:c r="O382" s="1" t="str">
        <x:v>Admin Office - 1</x:v>
      </x:c>
      <x:c r="P382" s="1" t="n">
        <x:v>2</x:v>
      </x:c>
      <x:c r="Q382" s="1" t="str">
        <x:v>high_security_mode_logs</x:v>
      </x:c>
      <x:c r="R382" s="1" t="n">
        <x:v>2</x:v>
      </x:c>
      <x:c r="S382" s="1" t="str">
        <x:v>Reset exit</x:v>
      </x:c>
      <x:c r="T382" s="1"/>
      <x:c r="U382" s="5" t="str"/>
      <x:c r="V382" s="1" t="n">
        <x:v>0</x:v>
      </x:c>
      <x:c r="W382" s="1" t="n">
        <x:v>0</x:v>
      </x:c>
      <x:c r="X382" s="1" t="str">
        <x:v>Not applicable</x:v>
      </x:c>
      <x:c r="Y382" s="1" t="n">
        <x:f>IF(V382=1,IF(E382="GRANTED",IF(X382="GRANTED",1,0),IF(X382="DENIED",1,0)),0)</x:f>
        <x:v>0</x:v>
      </x:c>
    </x:row>
    <x:row r="383" ht="23" customHeight="1">
      <x:c r="A383" s="9" t="n">
        <x:v>46247.452689259255</x:v>
      </x:c>
      <x:c r="B383" s="1" t="str">
        <x:v>Jose Mari Bautista</x:v>
      </x:c>
      <x:c r="C383" s="1" t="str">
        <x:v>Exit</x:v>
      </x:c>
      <x:c r="D383" s="1" t="str">
        <x:v>HighSecurity</x:v>
      </x:c>
      <x:c r="E383" s="1" t="str">
        <x:v>GRANTED</x:v>
      </x:c>
      <x:c r="F383" s="11" t="n">
        <x:v>12.8461</x:v>
      </x:c>
      <x:c r="G383" s="11" t="str">
        <x:v>N/A (Bypassed)</x:v>
      </x:c>
      <x:c r="H383" s="11" t="str">
        <x:v>N/A (Bypassed)</x:v>
      </x:c>
      <x:c r="I383" s="11" t="str">
        <x:v>N/A (Bypassed)</x:v>
      </x:c>
      <x:c r="J383" s="11" t="str">
        <x:v>N/A (Bypassed)</x:v>
      </x:c>
      <x:c r="K383" s="11" t="str">
        <x:v>N/A</x:v>
      </x:c>
      <x:c r="L383" s="11" t="n">
        <x:v>12.8461</x:v>
      </x:c>
      <x:c r="M383" s="11" t="n">
        <x:v>2.8376</x:v>
      </x:c>
      <x:c r="N383" s="1" t="str">
        <x:v>6898be28591c4e1abe73f83f56b307e4</x:v>
      </x:c>
      <x:c r="O383" s="1" t="str">
        <x:v>Admin Office - 1</x:v>
      </x:c>
      <x:c r="P383" s="1" t="n">
        <x:v>2</x:v>
      </x:c>
      <x:c r="Q383" s="1" t="str">
        <x:v>high_security_mode_logs</x:v>
      </x:c>
      <x:c r="R383" s="1" t="n">
        <x:v>3</x:v>
      </x:c>
      <x:c r="S383" s="1" t="str">
        <x:v>Reset exit</x:v>
      </x:c>
      <x:c r="T383" s="1"/>
      <x:c r="U383" s="5" t="str"/>
      <x:c r="V383" s="1" t="n">
        <x:v>0</x:v>
      </x:c>
      <x:c r="W383" s="1" t="n">
        <x:v>0</x:v>
      </x:c>
      <x:c r="X383" s="1" t="str">
        <x:v>Not applicable</x:v>
      </x:c>
      <x:c r="Y383" s="1" t="n">
        <x:f>IF(V383=1,IF(E383="GRANTED",IF(X383="GRANTED",1,0),IF(X383="DENIED",1,0)),0)</x:f>
        <x:v>0</x:v>
      </x:c>
    </x:row>
    <x:row r="384" ht="23" customHeight="1">
      <x:c r="A384" s="9" t="n">
        <x:v>46247.4526684375</x:v>
      </x:c>
      <x:c r="B384" s="1" t="str">
        <x:v>Angelito Fernandez</x:v>
      </x:c>
      <x:c r="C384" s="1" t="str">
        <x:v>Exit</x:v>
      </x:c>
      <x:c r="D384" s="1" t="str">
        <x:v>HighSecurity</x:v>
      </x:c>
      <x:c r="E384" s="1" t="str">
        <x:v>GRANTED</x:v>
      </x:c>
      <x:c r="F384" s="11" t="n">
        <x:v>10.439</x:v>
      </x:c>
      <x:c r="G384" s="11" t="str">
        <x:v>N/A (Bypassed)</x:v>
      </x:c>
      <x:c r="H384" s="11" t="str">
        <x:v>N/A (Bypassed)</x:v>
      </x:c>
      <x:c r="I384" s="11" t="str">
        <x:v>N/A (Bypassed)</x:v>
      </x:c>
      <x:c r="J384" s="11" t="str">
        <x:v>N/A (Bypassed)</x:v>
      </x:c>
      <x:c r="K384" s="11" t="str">
        <x:v>N/A</x:v>
      </x:c>
      <x:c r="L384" s="11" t="n">
        <x:v>10.439</x:v>
      </x:c>
      <x:c r="M384" s="11" t="n">
        <x:v>3.2296</x:v>
      </x:c>
      <x:c r="N384" s="1" t="str">
        <x:v>6898be28591c4e1abe73f83f56b307e4</x:v>
      </x:c>
      <x:c r="O384" s="1" t="str">
        <x:v>Admin Office - 1</x:v>
      </x:c>
      <x:c r="P384" s="1" t="n">
        <x:v>2</x:v>
      </x:c>
      <x:c r="Q384" s="1" t="str">
        <x:v>high_security_mode_logs</x:v>
      </x:c>
      <x:c r="R384" s="1" t="n">
        <x:v>4</x:v>
      </x:c>
      <x:c r="S384" s="1" t="str">
        <x:v>Reset exit</x:v>
      </x:c>
      <x:c r="T384" s="1"/>
      <x:c r="U384" s="5" t="str"/>
      <x:c r="V384" s="1" t="n">
        <x:v>0</x:v>
      </x:c>
      <x:c r="W384" s="1" t="n">
        <x:v>0</x:v>
      </x:c>
      <x:c r="X384" s="1" t="str">
        <x:v>Not applicable</x:v>
      </x:c>
      <x:c r="Y384" s="1" t="n">
        <x:f>IF(V384=1,IF(E384="GRANTED",IF(X384="GRANTED",1,0),IF(X384="DENIED",1,0)),0)</x:f>
        <x:v>0</x:v>
      </x:c>
    </x:row>
    <x:row r="385" ht="23" customHeight="1">
      <x:c r="A385" s="9" t="n">
        <x:v>46247.452649467596</x:v>
      </x:c>
      <x:c r="B385" s="1" t="str">
        <x:v>Roberto Ramos</x:v>
      </x:c>
      <x:c r="C385" s="1" t="str">
        <x:v>Exit</x:v>
      </x:c>
      <x:c r="D385" s="1" t="str">
        <x:v>HighSecurity</x:v>
      </x:c>
      <x:c r="E385" s="1" t="str">
        <x:v>GRANTED</x:v>
      </x:c>
      <x:c r="F385" s="11" t="n">
        <x:v>12.9068</x:v>
      </x:c>
      <x:c r="G385" s="11" t="str">
        <x:v>N/A (Bypassed)</x:v>
      </x:c>
      <x:c r="H385" s="11" t="str">
        <x:v>N/A (Bypassed)</x:v>
      </x:c>
      <x:c r="I385" s="11" t="str">
        <x:v>N/A (Bypassed)</x:v>
      </x:c>
      <x:c r="J385" s="11" t="str">
        <x:v>N/A (Bypassed)</x:v>
      </x:c>
      <x:c r="K385" s="11" t="str">
        <x:v>N/A</x:v>
      </x:c>
      <x:c r="L385" s="11" t="n">
        <x:v>12.9068</x:v>
      </x:c>
      <x:c r="M385" s="11" t="n">
        <x:v>3.2651</x:v>
      </x:c>
      <x:c r="N385" s="1" t="str">
        <x:v>6898be28591c4e1abe73f83f56b307e4</x:v>
      </x:c>
      <x:c r="O385" s="1" t="str">
        <x:v>Admin Office - 1</x:v>
      </x:c>
      <x:c r="P385" s="1" t="n">
        <x:v>2</x:v>
      </x:c>
      <x:c r="Q385" s="1" t="str">
        <x:v>high_security_mode_logs</x:v>
      </x:c>
      <x:c r="R385" s="1" t="n">
        <x:v>5</x:v>
      </x:c>
      <x:c r="S385" s="1" t="str">
        <x:v>Reset exit</x:v>
      </x:c>
      <x:c r="T385" s="1"/>
      <x:c r="U385" s="5" t="str"/>
      <x:c r="V385" s="1" t="n">
        <x:v>0</x:v>
      </x:c>
      <x:c r="W385" s="1" t="n">
        <x:v>0</x:v>
      </x:c>
      <x:c r="X385" s="1" t="str">
        <x:v>Not applicable</x:v>
      </x:c>
      <x:c r="Y385" s="1" t="n">
        <x:f>IF(V385=1,IF(E385="GRANTED",IF(X385="GRANTED",1,0),IF(X385="DENIED",1,0)),0)</x:f>
        <x:v>0</x:v>
      </x:c>
    </x:row>
    <x:row r="386" ht="23" customHeight="1">
      <x:c r="A386" s="9" t="n">
        <x:v>46247.45262677083</x:v>
      </x:c>
      <x:c r="B386" s="1" t="str">
        <x:v>Juanito Delos Santos</x:v>
      </x:c>
      <x:c r="C386" s="1" t="str">
        <x:v>Exit</x:v>
      </x:c>
      <x:c r="D386" s="1" t="str">
        <x:v>HighSecurity</x:v>
      </x:c>
      <x:c r="E386" s="1" t="str">
        <x:v>GRANTED</x:v>
      </x:c>
      <x:c r="F386" s="11" t="n">
        <x:v>12.9459</x:v>
      </x:c>
      <x:c r="G386" s="11" t="str">
        <x:v>N/A (Bypassed)</x:v>
      </x:c>
      <x:c r="H386" s="11" t="str">
        <x:v>N/A (Bypassed)</x:v>
      </x:c>
      <x:c r="I386" s="11" t="str">
        <x:v>N/A (Bypassed)</x:v>
      </x:c>
      <x:c r="J386" s="11" t="str">
        <x:v>N/A (Bypassed)</x:v>
      </x:c>
      <x:c r="K386" s="11" t="str">
        <x:v>N/A</x:v>
      </x:c>
      <x:c r="L386" s="11" t="n">
        <x:v>12.9459</x:v>
      </x:c>
      <x:c r="M386" s="11" t="n">
        <x:v>5.3567</x:v>
      </x:c>
      <x:c r="N386" s="1" t="str">
        <x:v>6898be28591c4e1abe73f83f56b307e4</x:v>
      </x:c>
      <x:c r="O386" s="1" t="str">
        <x:v>Admin Office - 1</x:v>
      </x:c>
      <x:c r="P386" s="1" t="n">
        <x:v>2</x:v>
      </x:c>
      <x:c r="Q386" s="1" t="str">
        <x:v>high_security_mode_logs</x:v>
      </x:c>
      <x:c r="R386" s="1" t="n">
        <x:v>6</x:v>
      </x:c>
      <x:c r="S386" s="1" t="str">
        <x:v>Reset exit</x:v>
      </x:c>
      <x:c r="T386" s="1"/>
      <x:c r="U386" s="5" t="str"/>
      <x:c r="V386" s="1" t="n">
        <x:v>0</x:v>
      </x:c>
      <x:c r="W386" s="1" t="n">
        <x:v>0</x:v>
      </x:c>
      <x:c r="X386" s="1" t="str">
        <x:v>Not applicable</x:v>
      </x:c>
      <x:c r="Y386" s="1" t="n">
        <x:f>IF(V386=1,IF(E386="GRANTED",IF(X386="GRANTED",1,0),IF(X386="DENIED",1,0)),0)</x:f>
        <x:v>0</x:v>
      </x:c>
    </x:row>
    <x:row r="387" ht="23" customHeight="1">
      <x:c r="A387" s="9" t="n">
        <x:v>46247.452608182866</x:v>
      </x:c>
      <x:c r="B387" s="1" t="str">
        <x:v>[TEMP] Manuel Mendoza</x:v>
      </x:c>
      <x:c r="C387" s="1" t="str">
        <x:v>Exit</x:v>
      </x:c>
      <x:c r="D387" s="1" t="str">
        <x:v>HighSecurity</x:v>
      </x:c>
      <x:c r="E387" s="1" t="str">
        <x:v>GRANTED</x:v>
      </x:c>
      <x:c r="F387" s="11" t="n">
        <x:v>12.629</x:v>
      </x:c>
      <x:c r="G387" s="11" t="str">
        <x:v>N/A (Bypassed)</x:v>
      </x:c>
      <x:c r="H387" s="11" t="str">
        <x:v>N/A (Bypassed)</x:v>
      </x:c>
      <x:c r="I387" s="11" t="str">
        <x:v>N/A (Bypassed)</x:v>
      </x:c>
      <x:c r="J387" s="11" t="str">
        <x:v>N/A (Bypassed)</x:v>
      </x:c>
      <x:c r="K387" s="11" t="str">
        <x:v>N/A</x:v>
      </x:c>
      <x:c r="L387" s="11" t="n">
        <x:v>12.629</x:v>
      </x:c>
      <x:c r="M387" s="11" t="n">
        <x:v>3.3523</x:v>
      </x:c>
      <x:c r="N387" s="1" t="str">
        <x:v>6898be28591c4e1abe73f83f56b307e4</x:v>
      </x:c>
      <x:c r="O387" s="1" t="str">
        <x:v>Admin Office - 1</x:v>
      </x:c>
      <x:c r="P387" s="1" t="n">
        <x:v>2</x:v>
      </x:c>
      <x:c r="Q387" s="1" t="str">
        <x:v>high_security_mode_logs</x:v>
      </x:c>
      <x:c r="R387" s="1" t="n">
        <x:v>7</x:v>
      </x:c>
      <x:c r="S387" s="1" t="str">
        <x:v>Reset exit</x:v>
      </x:c>
      <x:c r="T387" s="1"/>
      <x:c r="U387" s="5" t="str"/>
      <x:c r="V387" s="1" t="n">
        <x:v>0</x:v>
      </x:c>
      <x:c r="W387" s="1" t="n">
        <x:v>0</x:v>
      </x:c>
      <x:c r="X387" s="1" t="str">
        <x:v>Not applicable</x:v>
      </x:c>
      <x:c r="Y387" s="1" t="n">
        <x:f>IF(V387=1,IF(E387="GRANTED",IF(X387="GRANTED",1,0),IF(X387="DENIED",1,0)),0)</x:f>
        <x:v>0</x:v>
      </x:c>
    </x:row>
    <x:row r="388" ht="23" customHeight="1">
      <x:c r="A388" s="9" t="n">
        <x:v>46247.45258979167</x:v>
      </x:c>
      <x:c r="B388" s="1" t="str">
        <x:v>Francisco Garcia</x:v>
      </x:c>
      <x:c r="C388" s="1" t="str">
        <x:v>Exit</x:v>
      </x:c>
      <x:c r="D388" s="1" t="str">
        <x:v>HighSecurity</x:v>
      </x:c>
      <x:c r="E388" s="1" t="str">
        <x:v>GRANTED</x:v>
      </x:c>
      <x:c r="F388" s="11" t="n">
        <x:v>12.0483</x:v>
      </x:c>
      <x:c r="G388" s="11" t="str">
        <x:v>N/A (Bypassed)</x:v>
      </x:c>
      <x:c r="H388" s="11" t="str">
        <x:v>N/A (Bypassed)</x:v>
      </x:c>
      <x:c r="I388" s="11" t="str">
        <x:v>N/A (Bypassed)</x:v>
      </x:c>
      <x:c r="J388" s="11" t="str">
        <x:v>N/A (Bypassed)</x:v>
      </x:c>
      <x:c r="K388" s="11" t="str">
        <x:v>N/A</x:v>
      </x:c>
      <x:c r="L388" s="11" t="n">
        <x:v>12.0483</x:v>
      </x:c>
      <x:c r="M388" s="11" t="n">
        <x:v>3.1793</x:v>
      </x:c>
      <x:c r="N388" s="1" t="str">
        <x:v>6898be28591c4e1abe73f83f56b307e4</x:v>
      </x:c>
      <x:c r="O388" s="1" t="str">
        <x:v>Admin Office - 1</x:v>
      </x:c>
      <x:c r="P388" s="1" t="n">
        <x:v>2</x:v>
      </x:c>
      <x:c r="Q388" s="1" t="str">
        <x:v>high_security_mode_logs</x:v>
      </x:c>
      <x:c r="R388" s="1" t="n">
        <x:v>8</x:v>
      </x:c>
      <x:c r="S388" s="1" t="str">
        <x:v>Reset exit</x:v>
      </x:c>
      <x:c r="T388" s="1"/>
      <x:c r="U388" s="5" t="str"/>
      <x:c r="V388" s="1" t="n">
        <x:v>0</x:v>
      </x:c>
      <x:c r="W388" s="1" t="n">
        <x:v>0</x:v>
      </x:c>
      <x:c r="X388" s="1" t="str">
        <x:v>Not applicable</x:v>
      </x:c>
      <x:c r="Y388" s="1" t="n">
        <x:f>IF(V388=1,IF(E388="GRANTED",IF(X388="GRANTED",1,0),IF(X388="DENIED",1,0)),0)</x:f>
        <x:v>0</x:v>
      </x:c>
    </x:row>
    <x:row r="389" ht="23" customHeight="1">
      <x:c r="A389" s="9" t="n">
        <x:v>46247.452571539354</x:v>
      </x:c>
      <x:c r="B389" s="1" t="str">
        <x:v>[TEMP] Pedro Reyes</x:v>
      </x:c>
      <x:c r="C389" s="1" t="str">
        <x:v>Exit</x:v>
      </x:c>
      <x:c r="D389" s="1" t="str">
        <x:v>HighSecurity</x:v>
      </x:c>
      <x:c r="E389" s="1" t="str">
        <x:v>GRANTED</x:v>
      </x:c>
      <x:c r="F389" s="11" t="n">
        <x:v>14.1909</x:v>
      </x:c>
      <x:c r="G389" s="11" t="str">
        <x:v>N/A (Bypassed)</x:v>
      </x:c>
      <x:c r="H389" s="11" t="str">
        <x:v>N/A (Bypassed)</x:v>
      </x:c>
      <x:c r="I389" s="11" t="str">
        <x:v>N/A (Bypassed)</x:v>
      </x:c>
      <x:c r="J389" s="11" t="str">
        <x:v>N/A (Bypassed)</x:v>
      </x:c>
      <x:c r="K389" s="11" t="str">
        <x:v>N/A</x:v>
      </x:c>
      <x:c r="L389" s="11" t="n">
        <x:v>14.1909</x:v>
      </x:c>
      <x:c r="M389" s="11" t="n">
        <x:v>5.4351</x:v>
      </x:c>
      <x:c r="N389" s="1" t="str">
        <x:v>6898be28591c4e1abe73f83f56b307e4</x:v>
      </x:c>
      <x:c r="O389" s="1" t="str">
        <x:v>Admin Office - 1</x:v>
      </x:c>
      <x:c r="P389" s="1" t="n">
        <x:v>2</x:v>
      </x:c>
      <x:c r="Q389" s="1" t="str">
        <x:v>high_security_mode_logs</x:v>
      </x:c>
      <x:c r="R389" s="1" t="n">
        <x:v>9</x:v>
      </x:c>
      <x:c r="S389" s="1" t="str">
        <x:v>Reset exit</x:v>
      </x:c>
      <x:c r="T389" s="1"/>
      <x:c r="U389" s="5" t="str"/>
      <x:c r="V389" s="1" t="n">
        <x:v>0</x:v>
      </x:c>
      <x:c r="W389" s="1" t="n">
        <x:v>0</x:v>
      </x:c>
      <x:c r="X389" s="1" t="str">
        <x:v>Not applicable</x:v>
      </x:c>
      <x:c r="Y389" s="1" t="n">
        <x:f>IF(V389=1,IF(E389="GRANTED",IF(X389="GRANTED",1,0),IF(X389="DENIED",1,0)),0)</x:f>
        <x:v>0</x:v>
      </x:c>
    </x:row>
    <x:row r="390" ht="23" customHeight="1">
      <x:c r="A390" s="9" t="n">
        <x:v>46247.45255072917</x:v>
      </x:c>
      <x:c r="B390" s="1" t="str">
        <x:v>[TEMP] Jose Santos</x:v>
      </x:c>
      <x:c r="C390" s="1" t="str">
        <x:v>Exit</x:v>
      </x:c>
      <x:c r="D390" s="1" t="str">
        <x:v>HighSecurity</x:v>
      </x:c>
      <x:c r="E390" s="1" t="str">
        <x:v>GRANTED</x:v>
      </x:c>
      <x:c r="F390" s="11" t="n">
        <x:v>12.4147</x:v>
      </x:c>
      <x:c r="G390" s="11" t="str">
        <x:v>N/A (Bypassed)</x:v>
      </x:c>
      <x:c r="H390" s="11" t="str">
        <x:v>N/A (Bypassed)</x:v>
      </x:c>
      <x:c r="I390" s="11" t="str">
        <x:v>N/A (Bypassed)</x:v>
      </x:c>
      <x:c r="J390" s="11" t="str">
        <x:v>N/A (Bypassed)</x:v>
      </x:c>
      <x:c r="K390" s="11" t="str">
        <x:v>N/A</x:v>
      </x:c>
      <x:c r="L390" s="11" t="n">
        <x:v>12.4147</x:v>
      </x:c>
      <x:c r="M390" s="11" t="n">
        <x:v>5.2043</x:v>
      </x:c>
      <x:c r="N390" s="1" t="str">
        <x:v>6898be28591c4e1abe73f83f56b307e4</x:v>
      </x:c>
      <x:c r="O390" s="1" t="str">
        <x:v>Admin Office - 1</x:v>
      </x:c>
      <x:c r="P390" s="1" t="n">
        <x:v>2</x:v>
      </x:c>
      <x:c r="Q390" s="1" t="str">
        <x:v>high_security_mode_logs</x:v>
      </x:c>
      <x:c r="R390" s="1" t="n">
        <x:v>10</x:v>
      </x:c>
      <x:c r="S390" s="1" t="str">
        <x:v>Reset exit</x:v>
      </x:c>
      <x:c r="T390" s="1"/>
      <x:c r="U390" s="5" t="str"/>
      <x:c r="V390" s="1" t="n">
        <x:v>0</x:v>
      </x:c>
      <x:c r="W390" s="1" t="n">
        <x:v>0</x:v>
      </x:c>
      <x:c r="X390" s="1" t="str">
        <x:v>Not applicable</x:v>
      </x:c>
      <x:c r="Y390" s="1" t="n">
        <x:f>IF(V390=1,IF(E390="GRANTED",IF(X390="GRANTED",1,0),IF(X390="DENIED",1,0)),0)</x:f>
        <x:v>0</x:v>
      </x:c>
    </x:row>
    <x:row r="391" ht="23" customHeight="1">
      <x:c r="A391" s="9" t="n">
        <x:v>46247.45253105324</x:v>
      </x:c>
      <x:c r="B391" s="1" t="str">
        <x:v>[TEMP] Juan Dela Cruz</x:v>
      </x:c>
      <x:c r="C391" s="1" t="str">
        <x:v>Exit</x:v>
      </x:c>
      <x:c r="D391" s="1" t="str">
        <x:v>HighSecurity</x:v>
      </x:c>
      <x:c r="E391" s="1" t="str">
        <x:v>GRANTED</x:v>
      </x:c>
      <x:c r="F391" s="11" t="n">
        <x:v>10.52</x:v>
      </x:c>
      <x:c r="G391" s="11" t="str">
        <x:v>N/A (Bypassed)</x:v>
      </x:c>
      <x:c r="H391" s="11" t="str">
        <x:v>N/A (Bypassed)</x:v>
      </x:c>
      <x:c r="I391" s="11" t="str">
        <x:v>N/A (Bypassed)</x:v>
      </x:c>
      <x:c r="J391" s="11" t="str">
        <x:v>N/A (Bypassed)</x:v>
      </x:c>
      <x:c r="K391" s="11" t="str">
        <x:v>N/A</x:v>
      </x:c>
      <x:c r="L391" s="11" t="n">
        <x:v>10.52</x:v>
      </x:c>
      <x:c r="M391" s="11" t="n">
        <x:v>2.9359</x:v>
      </x:c>
      <x:c r="N391" s="1" t="str">
        <x:v>6898be28591c4e1abe73f83f56b307e4</x:v>
      </x:c>
      <x:c r="O391" s="1" t="str">
        <x:v>Admin Office - 1</x:v>
      </x:c>
      <x:c r="P391" s="1" t="n">
        <x:v>2</x:v>
      </x:c>
      <x:c r="Q391" s="1" t="str">
        <x:v>high_security_mode_logs</x:v>
      </x:c>
      <x:c r="R391" s="1" t="n">
        <x:v>11</x:v>
      </x:c>
      <x:c r="S391" s="1" t="str">
        <x:v>Reset exit</x:v>
      </x:c>
      <x:c r="T391" s="1"/>
      <x:c r="U391" s="5" t="str"/>
      <x:c r="V391" s="1" t="n">
        <x:v>0</x:v>
      </x:c>
      <x:c r="W391" s="1" t="n">
        <x:v>0</x:v>
      </x:c>
      <x:c r="X391" s="1" t="str">
        <x:v>Not applicable</x:v>
      </x:c>
      <x:c r="Y391" s="1" t="n">
        <x:f>IF(V391=1,IF(E391="GRANTED",IF(X391="GRANTED",1,0),IF(X391="DENIED",1,0)),0)</x:f>
        <x:v>0</x:v>
      </x:c>
    </x:row>
    <x:row r="392" ht="23" customHeight="1">
      <x:c r="A392" s="9" t="n">
        <x:v>46247.4521596875</x:v>
      </x:c>
      <x:c r="B392" s="1" t="str">
        <x:v>Bayani Dela Rosa</x:v>
      </x:c>
      <x:c r="C392" s="1" t="str">
        <x:v>Entry</x:v>
      </x:c>
      <x:c r="D392" s="1" t="str">
        <x:v>HighSecurity</x:v>
      </x:c>
      <x:c r="E392" s="1" t="str">
        <x:v>GRANTED</x:v>
      </x:c>
      <x:c r="F392" s="11" t="n">
        <x:v>45.6845</x:v>
      </x:c>
      <x:c r="G392" s="11" t="n">
        <x:v>4675.1722</x:v>
      </x:c>
      <x:c r="H392" s="11" t="n">
        <x:v>38.3887</x:v>
      </x:c>
      <x:c r="I392" s="11" t="n">
        <x:v>1812.7718</x:v>
      </x:c>
      <x:c r="J392" s="11" t="n">
        <x:v>2.2883</x:v>
      </x:c>
      <x:c r="K392" s="11" t="n">
        <x:v>6487.944</x:v>
      </x:c>
      <x:c r="L392" s="11" t="n">
        <x:v>86.3615</x:v>
      </x:c>
      <x:c r="M392" s="11" t="n">
        <x:v>77.6242</x:v>
      </x:c>
      <x:c r="N392" s="1" t="str">
        <x:v>6898be28591c4e1abe73f83f56b307e4</x:v>
      </x:c>
      <x:c r="O392" s="1" t="str">
        <x:v>Admin Office - 1</x:v>
      </x:c>
      <x:c r="P392" s="1" t="n">
        <x:v>2</x:v>
      </x:c>
      <x:c r="Q392" s="1" t="str">
        <x:v>high_security_mode_logs</x:v>
      </x:c>
      <x:c r="R392" s="1" t="n">
        <x:v>12</x:v>
      </x:c>
      <x:c r="S392" s="1" t="str">
        <x:v>Successful entry</x:v>
      </x:c>
      <x:c r="T392" s="1" t="n">
        <x:v>2</x:v>
      </x:c>
      <x:c r="U392" s="5" t="str"/>
      <x:c r="V392" s="1" t="n">
        <x:v>1</x:v>
      </x:c>
      <x:c r="W392" s="1" t="n">
        <x:v>1</x:v>
      </x:c>
      <x:c r="X392" s="1" t="str">
        <x:v>GRANTED</x:v>
      </x:c>
      <x:c r="Y392" s="1" t="n">
        <x:f>IF(V392=1,IF(E392="GRANTED",IF(X392="GRANTED",1,0),IF(X392="DENIED",1,0)),0)</x:f>
        <x:v>1</x:v>
      </x:c>
    </x:row>
    <x:row r="393" ht="23" customHeight="1">
      <x:c r="A393" s="9" t="n">
        <x:v>46247.45203284722</x:v>
      </x:c>
      <x:c r="B393" s="1" t="str">
        <x:v>Jose Mari Bautista</x:v>
      </x:c>
      <x:c r="C393" s="1" t="str">
        <x:v>Entry</x:v>
      </x:c>
      <x:c r="D393" s="1" t="str">
        <x:v>HighSecurity</x:v>
      </x:c>
      <x:c r="E393" s="1" t="str">
        <x:v>GRANTED</x:v>
      </x:c>
      <x:c r="F393" s="11" t="n">
        <x:v>11.1522</x:v>
      </x:c>
      <x:c r="G393" s="11" t="n">
        <x:v>1485.3974</x:v>
      </x:c>
      <x:c r="H393" s="11" t="n">
        <x:v>39.7432</x:v>
      </x:c>
      <x:c r="I393" s="11" t="n">
        <x:v>1621.1158</x:v>
      </x:c>
      <x:c r="J393" s="11" t="n">
        <x:v>2.202</x:v>
      </x:c>
      <x:c r="K393" s="11" t="n">
        <x:v>3106.5132</x:v>
      </x:c>
      <x:c r="L393" s="11" t="n">
        <x:v>53.0974</x:v>
      </x:c>
      <x:c r="M393" s="11" t="n">
        <x:v>43.6123</x:v>
      </x:c>
      <x:c r="N393" s="1" t="str">
        <x:v>6898be28591c4e1abe73f83f56b307e4</x:v>
      </x:c>
      <x:c r="O393" s="1" t="str">
        <x:v>Admin Office - 1</x:v>
      </x:c>
      <x:c r="P393" s="1" t="n">
        <x:v>2</x:v>
      </x:c>
      <x:c r="Q393" s="1" t="str">
        <x:v>high_security_mode_logs</x:v>
      </x:c>
      <x:c r="R393" s="1" t="n">
        <x:v>13</x:v>
      </x:c>
      <x:c r="S393" s="1" t="str">
        <x:v>Successful entry</x:v>
      </x:c>
      <x:c r="T393" s="1" t="n">
        <x:v>2</x:v>
      </x:c>
      <x:c r="U393" s="5" t="str"/>
      <x:c r="V393" s="1" t="n">
        <x:v>1</x:v>
      </x:c>
      <x:c r="W393" s="1" t="n">
        <x:v>1</x:v>
      </x:c>
      <x:c r="X393" s="1" t="str">
        <x:v>GRANTED</x:v>
      </x:c>
      <x:c r="Y393" s="1" t="n">
        <x:f>IF(V393=1,IF(E393="GRANTED",IF(X393="GRANTED",1,0),IF(X393="DENIED",1,0)),0)</x:f>
        <x:v>1</x:v>
      </x:c>
    </x:row>
    <x:row r="394" ht="23" customHeight="1">
      <x:c r="A394" s="9" t="n">
        <x:v>46247.451938171296</x:v>
      </x:c>
      <x:c r="B394" s="1" t="str">
        <x:v>Angelito Fernandez</x:v>
      </x:c>
      <x:c r="C394" s="1" t="str">
        <x:v>Entry</x:v>
      </x:c>
      <x:c r="D394" s="1" t="str">
        <x:v>HighSecurity</x:v>
      </x:c>
      <x:c r="E394" s="1" t="str">
        <x:v>GRANTED</x:v>
      </x:c>
      <x:c r="F394" s="11" t="n">
        <x:v>10.7347</x:v>
      </x:c>
      <x:c r="G394" s="11" t="n">
        <x:v>1540.3347</x:v>
      </x:c>
      <x:c r="H394" s="11" t="n">
        <x:v>38.4925</x:v>
      </x:c>
      <x:c r="I394" s="11" t="n">
        <x:v>2640.7084</x:v>
      </x:c>
      <x:c r="J394" s="11" t="n">
        <x:v>2.2107</x:v>
      </x:c>
      <x:c r="K394" s="11" t="n">
        <x:v>4181.0431</x:v>
      </x:c>
      <x:c r="L394" s="11" t="n">
        <x:v>51.4379</x:v>
      </x:c>
      <x:c r="M394" s="11" t="n">
        <x:v>42.3285</x:v>
      </x:c>
      <x:c r="N394" s="1" t="str">
        <x:v>6898be28591c4e1abe73f83f56b307e4</x:v>
      </x:c>
      <x:c r="O394" s="1" t="str">
        <x:v>Admin Office - 1</x:v>
      </x:c>
      <x:c r="P394" s="1" t="n">
        <x:v>2</x:v>
      </x:c>
      <x:c r="Q394" s="1" t="str">
        <x:v>high_security_mode_logs</x:v>
      </x:c>
      <x:c r="R394" s="1" t="n">
        <x:v>14</x:v>
      </x:c>
      <x:c r="S394" s="1" t="str">
        <x:v>Successful entry</x:v>
      </x:c>
      <x:c r="T394" s="1" t="n">
        <x:v>2</x:v>
      </x:c>
      <x:c r="U394" s="5" t="str"/>
      <x:c r="V394" s="1" t="n">
        <x:v>1</x:v>
      </x:c>
      <x:c r="W394" s="1" t="n">
        <x:v>1</x:v>
      </x:c>
      <x:c r="X394" s="1" t="str">
        <x:v>GRANTED</x:v>
      </x:c>
      <x:c r="Y394" s="1" t="n">
        <x:f>IF(V394=1,IF(E394="GRANTED",IF(X394="GRANTED",1,0),IF(X394="DENIED",1,0)),0)</x:f>
        <x:v>1</x:v>
      </x:c>
    </x:row>
    <x:row r="395" ht="23" customHeight="1">
      <x:c r="A395" s="9" t="n">
        <x:v>46247.45182966435</x:v>
      </x:c>
      <x:c r="B395" s="1" t="str">
        <x:v>Roberto Ramos</x:v>
      </x:c>
      <x:c r="C395" s="1" t="str">
        <x:v>Entry</x:v>
      </x:c>
      <x:c r="D395" s="1" t="str">
        <x:v>HighSecurity</x:v>
      </x:c>
      <x:c r="E395" s="1" t="str">
        <x:v>GRANTED</x:v>
      </x:c>
      <x:c r="F395" s="11" t="n">
        <x:v>11.811</x:v>
      </x:c>
      <x:c r="G395" s="11" t="n">
        <x:v>1925.1477</x:v>
      </x:c>
      <x:c r="H395" s="11" t="n">
        <x:v>40.3519</x:v>
      </x:c>
      <x:c r="I395" s="11" t="n">
        <x:v>1944.3458</x:v>
      </x:c>
      <x:c r="J395" s="11" t="n">
        <x:v>2.4486</x:v>
      </x:c>
      <x:c r="K395" s="11" t="n">
        <x:v>3869.4935</x:v>
      </x:c>
      <x:c r="L395" s="11" t="n">
        <x:v>54.6115</x:v>
      </x:c>
      <x:c r="M395" s="11" t="n">
        <x:v>44.2587</x:v>
      </x:c>
      <x:c r="N395" s="1" t="str">
        <x:v>6898be28591c4e1abe73f83f56b307e4</x:v>
      </x:c>
      <x:c r="O395" s="1" t="str">
        <x:v>Admin Office - 1</x:v>
      </x:c>
      <x:c r="P395" s="1" t="n">
        <x:v>2</x:v>
      </x:c>
      <x:c r="Q395" s="1" t="str">
        <x:v>high_security_mode_logs</x:v>
      </x:c>
      <x:c r="R395" s="1" t="n">
        <x:v>15</x:v>
      </x:c>
      <x:c r="S395" s="1" t="str">
        <x:v>Successful entry</x:v>
      </x:c>
      <x:c r="T395" s="1" t="n">
        <x:v>2</x:v>
      </x:c>
      <x:c r="U395" s="5" t="str"/>
      <x:c r="V395" s="1" t="n">
        <x:v>1</x:v>
      </x:c>
      <x:c r="W395" s="1" t="n">
        <x:v>1</x:v>
      </x:c>
      <x:c r="X395" s="1" t="str">
        <x:v>GRANTED</x:v>
      </x:c>
      <x:c r="Y395" s="1" t="n">
        <x:f>IF(V395=1,IF(E395="GRANTED",IF(X395="GRANTED",1,0),IF(X395="DENIED",1,0)),0)</x:f>
        <x:v>1</x:v>
      </x:c>
    </x:row>
    <x:row r="396" ht="23" customHeight="1">
      <x:c r="A396" s="12" t="n">
        <x:v>46247.451719143515</x:v>
      </x:c>
      <x:c r="B396" s="13" t="str">
        <x:v>Roberto Ramos</x:v>
      </x:c>
      <x:c r="C396" s="13" t="str">
        <x:v>Entry</x:v>
      </x:c>
      <x:c r="D396" s="13" t="str">
        <x:v>HighSecurity</x:v>
      </x:c>
      <x:c r="E396" s="13" t="str">
        <x:v>DENIED [QR_REPLACED_OR_MISMATCH]</x:v>
      </x:c>
      <x:c r="F396" s="14" t="n">
        <x:v>11.3106</x:v>
      </x:c>
      <x:c r="G396" s="14" t="n">
        <x:v>1484.7146</x:v>
      </x:c>
      <x:c r="H396" s="14" t="n">
        <x:v>38.2035</x:v>
      </x:c>
      <x:c r="I396" s="14" t="n">
        <x:v>11141.1595</x:v>
      </x:c>
      <x:c r="J396" s="14" t="n">
        <x:v>2.2304</x:v>
      </x:c>
      <x:c r="K396" s="14" t="n">
        <x:v>12625.8741</x:v>
      </x:c>
      <x:c r="L396" s="14" t="n">
        <x:v>51.7445</x:v>
      </x:c>
      <x:c r="M396" s="14" t="n">
        <x:v>41.9253</x:v>
      </x:c>
      <x:c r="N396" s="13" t="str">
        <x:v>6898be28591c4e1abe73f83f56b307e4</x:v>
      </x:c>
      <x:c r="O396" s="13" t="str">
        <x:v>Admin Office - 1</x:v>
      </x:c>
      <x:c r="P396" s="13" t="n">
        <x:v>2</x:v>
      </x:c>
      <x:c r="Q396" s="13" t="str">
        <x:v>high_security_mode_logs</x:v>
      </x:c>
      <x:c r="R396" s="13" t="n">
        <x:v>16</x:v>
      </x:c>
      <x:c r="S396" s="13" t="str">
        <x:v>Denied record</x:v>
      </x:c>
      <x:c r="T396" s="13"/>
      <x:c r="U396" s="15" t="str"/>
      <x:c r="V396" s="1" t="n">
        <x:v>1</x:v>
      </x:c>
      <x:c r="W396" s="1" t="n">
        <x:v>1</x:v>
      </x:c>
      <x:c r="X396" s="1" t="str">
        <x:v>DENIED</x:v>
      </x:c>
      <x:c r="Y396" s="1" t="n">
        <x:f>IF(V396=1,IF(E396="GRANTED",IF(X396="GRANTED",1,0),IF(X396="DENIED",1,0)),0)</x:f>
        <x:v>1</x:v>
      </x:c>
    </x:row>
    <x:row r="397" ht="23" customHeight="1">
      <x:c r="A397" s="9" t="n">
        <x:v>46247.45151126158</x:v>
      </x:c>
      <x:c r="B397" s="1" t="str">
        <x:v>Juanito Delos Santos</x:v>
      </x:c>
      <x:c r="C397" s="1" t="str">
        <x:v>Entry</x:v>
      </x:c>
      <x:c r="D397" s="1" t="str">
        <x:v>HighSecurity</x:v>
      </x:c>
      <x:c r="E397" s="1" t="str">
        <x:v>GRANTED</x:v>
      </x:c>
      <x:c r="F397" s="11" t="n">
        <x:v>12.9192</x:v>
      </x:c>
      <x:c r="G397" s="11" t="n">
        <x:v>1369.9422</x:v>
      </x:c>
      <x:c r="H397" s="11" t="n">
        <x:v>39.0385</x:v>
      </x:c>
      <x:c r="I397" s="11" t="n">
        <x:v>1600.4491</x:v>
      </x:c>
      <x:c r="J397" s="11" t="n">
        <x:v>2.9562</x:v>
      </x:c>
      <x:c r="K397" s="11" t="n">
        <x:v>2970.3913</x:v>
      </x:c>
      <x:c r="L397" s="11" t="n">
        <x:v>54.9139</x:v>
      </x:c>
      <x:c r="M397" s="11" t="n">
        <x:v>45.1423</x:v>
      </x:c>
      <x:c r="N397" s="1" t="str">
        <x:v>6898be28591c4e1abe73f83f56b307e4</x:v>
      </x:c>
      <x:c r="O397" s="1" t="str">
        <x:v>Admin Office - 1</x:v>
      </x:c>
      <x:c r="P397" s="1" t="n">
        <x:v>2</x:v>
      </x:c>
      <x:c r="Q397" s="1" t="str">
        <x:v>high_security_mode_logs</x:v>
      </x:c>
      <x:c r="R397" s="1" t="n">
        <x:v>17</x:v>
      </x:c>
      <x:c r="S397" s="1" t="str">
        <x:v>Successful entry</x:v>
      </x:c>
      <x:c r="T397" s="1" t="n">
        <x:v>2</x:v>
      </x:c>
      <x:c r="U397" s="5" t="str"/>
      <x:c r="V397" s="1" t="n">
        <x:v>1</x:v>
      </x:c>
      <x:c r="W397" s="1" t="n">
        <x:v>1</x:v>
      </x:c>
      <x:c r="X397" s="1" t="str">
        <x:v>GRANTED</x:v>
      </x:c>
      <x:c r="Y397" s="1" t="n">
        <x:f>IF(V397=1,IF(E397="GRANTED",IF(X397="GRANTED",1,0),IF(X397="DENIED",1,0)),0)</x:f>
        <x:v>1</x:v>
      </x:c>
    </x:row>
    <x:row r="398" ht="23" customHeight="1">
      <x:c r="A398" s="9" t="n">
        <x:v>46247.45142612269</x:v>
      </x:c>
      <x:c r="B398" s="1" t="str">
        <x:v>[TEMP] Manuel Mendoza</x:v>
      </x:c>
      <x:c r="C398" s="1" t="str">
        <x:v>Entry</x:v>
      </x:c>
      <x:c r="D398" s="1" t="str">
        <x:v>HighSecurity</x:v>
      </x:c>
      <x:c r="E398" s="1" t="str">
        <x:v>GRANTED</x:v>
      </x:c>
      <x:c r="F398" s="11" t="n">
        <x:v>11.9364</x:v>
      </x:c>
      <x:c r="G398" s="11" t="n">
        <x:v>1540.0822</x:v>
      </x:c>
      <x:c r="H398" s="11" t="n">
        <x:v>37.7491</x:v>
      </x:c>
      <x:c r="I398" s="11" t="n">
        <x:v>995.0347</x:v>
      </x:c>
      <x:c r="J398" s="11" t="n">
        <x:v>2.6239</x:v>
      </x:c>
      <x:c r="K398" s="11" t="n">
        <x:v>2535.1169</x:v>
      </x:c>
      <x:c r="L398" s="11" t="n">
        <x:v>52.3094</x:v>
      </x:c>
      <x:c r="M398" s="11" t="n">
        <x:v>43.4555</x:v>
      </x:c>
      <x:c r="N398" s="1" t="str">
        <x:v>6898be28591c4e1abe73f83f56b307e4</x:v>
      </x:c>
      <x:c r="O398" s="1" t="str">
        <x:v>Admin Office - 1</x:v>
      </x:c>
      <x:c r="P398" s="1" t="n">
        <x:v>2</x:v>
      </x:c>
      <x:c r="Q398" s="1" t="str">
        <x:v>high_security_mode_logs</x:v>
      </x:c>
      <x:c r="R398" s="1" t="n">
        <x:v>18</x:v>
      </x:c>
      <x:c r="S398" s="1" t="str">
        <x:v>Successful entry</x:v>
      </x:c>
      <x:c r="T398" s="1" t="n">
        <x:v>2</x:v>
      </x:c>
      <x:c r="U398" s="5" t="str"/>
      <x:c r="V398" s="1" t="n">
        <x:v>1</x:v>
      </x:c>
      <x:c r="W398" s="1" t="n">
        <x:v>1</x:v>
      </x:c>
      <x:c r="X398" s="1" t="str">
        <x:v>GRANTED</x:v>
      </x:c>
      <x:c r="Y398" s="1" t="n">
        <x:f>IF(V398=1,IF(E398="GRANTED",IF(X398="GRANTED",1,0),IF(X398="DENIED",1,0)),0)</x:f>
        <x:v>1</x:v>
      </x:c>
    </x:row>
    <x:row r="399" ht="23" customHeight="1">
      <x:c r="A399" s="9" t="n">
        <x:v>46247.45133974537</x:v>
      </x:c>
      <x:c r="B399" s="1" t="str">
        <x:v>Francisco Garcia</x:v>
      </x:c>
      <x:c r="C399" s="1" t="str">
        <x:v>Entry</x:v>
      </x:c>
      <x:c r="D399" s="1" t="str">
        <x:v>HighSecurity</x:v>
      </x:c>
      <x:c r="E399" s="1" t="str">
        <x:v>GRANTED</x:v>
      </x:c>
      <x:c r="F399" s="11" t="n">
        <x:v>10.0953</x:v>
      </x:c>
      <x:c r="G399" s="11" t="n">
        <x:v>2310.4388</x:v>
      </x:c>
      <x:c r="H399" s="11" t="n">
        <x:v>39.9808</x:v>
      </x:c>
      <x:c r="I399" s="11" t="n">
        <x:v>1824.2732</x:v>
      </x:c>
      <x:c r="J399" s="11" t="n">
        <x:v>2.7335</x:v>
      </x:c>
      <x:c r="K399" s="11" t="n">
        <x:v>4134.712</x:v>
      </x:c>
      <x:c r="L399" s="11" t="n">
        <x:v>52.8096</x:v>
      </x:c>
      <x:c r="M399" s="11" t="n">
        <x:v>44.2609</x:v>
      </x:c>
      <x:c r="N399" s="1" t="str">
        <x:v>6898be28591c4e1abe73f83f56b307e4</x:v>
      </x:c>
      <x:c r="O399" s="1" t="str">
        <x:v>Admin Office - 1</x:v>
      </x:c>
      <x:c r="P399" s="1" t="n">
        <x:v>2</x:v>
      </x:c>
      <x:c r="Q399" s="1" t="str">
        <x:v>high_security_mode_logs</x:v>
      </x:c>
      <x:c r="R399" s="1" t="n">
        <x:v>19</x:v>
      </x:c>
      <x:c r="S399" s="1" t="str">
        <x:v>Successful entry</x:v>
      </x:c>
      <x:c r="T399" s="1" t="n">
        <x:v>2</x:v>
      </x:c>
      <x:c r="U399" s="5" t="str"/>
      <x:c r="V399" s="1" t="n">
        <x:v>1</x:v>
      </x:c>
      <x:c r="W399" s="1" t="n">
        <x:v>1</x:v>
      </x:c>
      <x:c r="X399" s="1" t="str">
        <x:v>GRANTED</x:v>
      </x:c>
      <x:c r="Y399" s="1" t="n">
        <x:f>IF(V399=1,IF(E399="GRANTED",IF(X399="GRANTED",1,0),IF(X399="DENIED",1,0)),0)</x:f>
        <x:v>1</x:v>
      </x:c>
    </x:row>
    <x:row r="400" ht="23" customHeight="1">
      <x:c r="A400" s="9" t="n">
        <x:v>46247.451239710645</x:v>
      </x:c>
      <x:c r="B400" s="1" t="str">
        <x:v>[TEMP] Pedro Reyes</x:v>
      </x:c>
      <x:c r="C400" s="1" t="str">
        <x:v>Entry</x:v>
      </x:c>
      <x:c r="D400" s="1" t="str">
        <x:v>HighSecurity</x:v>
      </x:c>
      <x:c r="E400" s="1" t="str">
        <x:v>GRANTED</x:v>
      </x:c>
      <x:c r="F400" s="11" t="n">
        <x:v>11.4884</x:v>
      </x:c>
      <x:c r="G400" s="11" t="n">
        <x:v>1430.2473</x:v>
      </x:c>
      <x:c r="H400" s="11" t="n">
        <x:v>40.4332</x:v>
      </x:c>
      <x:c r="I400" s="11" t="n">
        <x:v>4675.6423</x:v>
      </x:c>
      <x:c r="J400" s="11" t="n">
        <x:v>4.3945</x:v>
      </x:c>
      <x:c r="K400" s="11" t="n">
        <x:v>6105.8896</x:v>
      </x:c>
      <x:c r="L400" s="11" t="n">
        <x:v>56.3161</x:v>
      </x:c>
      <x:c r="M400" s="11" t="n">
        <x:v>47.7947</x:v>
      </x:c>
      <x:c r="N400" s="1" t="str">
        <x:v>6898be28591c4e1abe73f83f56b307e4</x:v>
      </x:c>
      <x:c r="O400" s="1" t="str">
        <x:v>Admin Office - 1</x:v>
      </x:c>
      <x:c r="P400" s="1" t="n">
        <x:v>2</x:v>
      </x:c>
      <x:c r="Q400" s="1" t="str">
        <x:v>high_security_mode_logs</x:v>
      </x:c>
      <x:c r="R400" s="1" t="n">
        <x:v>20</x:v>
      </x:c>
      <x:c r="S400" s="1" t="str">
        <x:v>Successful entry</x:v>
      </x:c>
      <x:c r="T400" s="1" t="n">
        <x:v>2</x:v>
      </x:c>
      <x:c r="U400" s="5" t="str"/>
      <x:c r="V400" s="1" t="n">
        <x:v>1</x:v>
      </x:c>
      <x:c r="W400" s="1" t="n">
        <x:v>1</x:v>
      </x:c>
      <x:c r="X400" s="1" t="str">
        <x:v>GRANTED</x:v>
      </x:c>
      <x:c r="Y400" s="1" t="n">
        <x:f>IF(V400=1,IF(E400="GRANTED",IF(X400="GRANTED",1,0),IF(X400="DENIED",1,0)),0)</x:f>
        <x:v>1</x:v>
      </x:c>
    </x:row>
    <x:row r="401" ht="23" customHeight="1">
      <x:c r="A401" s="9" t="n">
        <x:v>46247.451114166666</x:v>
      </x:c>
      <x:c r="B401" s="1" t="str">
        <x:v>[TEMP] Jose Santos</x:v>
      </x:c>
      <x:c r="C401" s="1" t="str">
        <x:v>Entry</x:v>
      </x:c>
      <x:c r="D401" s="1" t="str">
        <x:v>HighSecurity</x:v>
      </x:c>
      <x:c r="E401" s="1" t="str">
        <x:v>GRANTED</x:v>
      </x:c>
      <x:c r="F401" s="11" t="n">
        <x:v>11.5316</x:v>
      </x:c>
      <x:c r="G401" s="11" t="n">
        <x:v>1539.7754</x:v>
      </x:c>
      <x:c r="H401" s="11" t="n">
        <x:v>40.462</x:v>
      </x:c>
      <x:c r="I401" s="11" t="n">
        <x:v>1287.0173</x:v>
      </x:c>
      <x:c r="J401" s="11" t="n">
        <x:v>2.6277</x:v>
      </x:c>
      <x:c r="K401" s="11" t="n">
        <x:v>2826.7927</x:v>
      </x:c>
      <x:c r="L401" s="11" t="n">
        <x:v>54.6213</x:v>
      </x:c>
      <x:c r="M401" s="11" t="n">
        <x:v>45.33</x:v>
      </x:c>
      <x:c r="N401" s="1" t="str">
        <x:v>6898be28591c4e1abe73f83f56b307e4</x:v>
      </x:c>
      <x:c r="O401" s="1" t="str">
        <x:v>Admin Office - 1</x:v>
      </x:c>
      <x:c r="P401" s="1" t="n">
        <x:v>2</x:v>
      </x:c>
      <x:c r="Q401" s="1" t="str">
        <x:v>high_security_mode_logs</x:v>
      </x:c>
      <x:c r="R401" s="1" t="n">
        <x:v>21</x:v>
      </x:c>
      <x:c r="S401" s="1" t="str">
        <x:v>Successful entry</x:v>
      </x:c>
      <x:c r="T401" s="1" t="n">
        <x:v>2</x:v>
      </x:c>
      <x:c r="U401" s="5" t="str"/>
      <x:c r="V401" s="1" t="n">
        <x:v>1</x:v>
      </x:c>
      <x:c r="W401" s="1" t="n">
        <x:v>1</x:v>
      </x:c>
      <x:c r="X401" s="1" t="str">
        <x:v>GRANTED</x:v>
      </x:c>
      <x:c r="Y401" s="1" t="n">
        <x:f>IF(V401=1,IF(E401="GRANTED",IF(X401="GRANTED",1,0),IF(X401="DENIED",1,0)),0)</x:f>
        <x:v>1</x:v>
      </x:c>
    </x:row>
    <x:row r="402" ht="23" customHeight="1">
      <x:c r="A402" s="9" t="n">
        <x:v>46247.451026145834</x:v>
      </x:c>
      <x:c r="B402" s="1" t="str">
        <x:v>[TEMP] Juan Dela Cruz</x:v>
      </x:c>
      <x:c r="C402" s="1" t="str">
        <x:v>Entry</x:v>
      </x:c>
      <x:c r="D402" s="1" t="str">
        <x:v>HighSecurity</x:v>
      </x:c>
      <x:c r="E402" s="1" t="str">
        <x:v>GRANTED</x:v>
      </x:c>
      <x:c r="F402" s="11" t="n">
        <x:v>13.3034</x:v>
      </x:c>
      <x:c r="G402" s="11" t="n">
        <x:v>1374.5115</x:v>
      </x:c>
      <x:c r="H402" s="11" t="n">
        <x:v>39.6257</x:v>
      </x:c>
      <x:c r="I402" s="11" t="n">
        <x:v>1984.5111</x:v>
      </x:c>
      <x:c r="J402" s="11" t="n">
        <x:v>2.4376</x:v>
      </x:c>
      <x:c r="K402" s="11" t="n">
        <x:v>3359.0226</x:v>
      </x:c>
      <x:c r="L402" s="11" t="n">
        <x:v>55.3667</x:v>
      </x:c>
      <x:c r="M402" s="11" t="n">
        <x:v>41.304</x:v>
      </x:c>
      <x:c r="N402" s="1" t="str">
        <x:v>6898be28591c4e1abe73f83f56b307e4</x:v>
      </x:c>
      <x:c r="O402" s="1" t="str">
        <x:v>Admin Office - 1</x:v>
      </x:c>
      <x:c r="P402" s="1" t="n">
        <x:v>2</x:v>
      </x:c>
      <x:c r="Q402" s="1" t="str">
        <x:v>high_security_mode_logs</x:v>
      </x:c>
      <x:c r="R402" s="1" t="n">
        <x:v>22</x:v>
      </x:c>
      <x:c r="S402" s="1" t="str">
        <x:v>Successful entry</x:v>
      </x:c>
      <x:c r="T402" s="1" t="n">
        <x:v>2</x:v>
      </x:c>
      <x:c r="U402" s="5" t="str"/>
      <x:c r="V402" s="1" t="n">
        <x:v>1</x:v>
      </x:c>
      <x:c r="W402" s="1" t="n">
        <x:v>1</x:v>
      </x:c>
      <x:c r="X402" s="1" t="str">
        <x:v>GRANTED</x:v>
      </x:c>
      <x:c r="Y402" s="1" t="n">
        <x:f>IF(V402=1,IF(E402="GRANTED",IF(X402="GRANTED",1,0),IF(X402="DENIED",1,0)),0)</x:f>
        <x:v>1</x:v>
      </x:c>
    </x:row>
    <x:row r="403" ht="23" customHeight="1">
      <x:c r="A403" s="9" t="n">
        <x:v>46247.450812337964</x:v>
      </x:c>
      <x:c r="B403" s="1" t="str">
        <x:v>Pedro Penduko</x:v>
      </x:c>
      <x:c r="C403" s="1" t="str">
        <x:v>Exit</x:v>
      </x:c>
      <x:c r="D403" s="1" t="str">
        <x:v>HighSecurity</x:v>
      </x:c>
      <x:c r="E403" s="1" t="str">
        <x:v>GRANTED</x:v>
      </x:c>
      <x:c r="F403" s="11" t="n">
        <x:v>11.4526</x:v>
      </x:c>
      <x:c r="G403" s="11" t="str">
        <x:v>N/A (Bypassed)</x:v>
      </x:c>
      <x:c r="H403" s="11" t="str">
        <x:v>N/A (Bypassed)</x:v>
      </x:c>
      <x:c r="I403" s="11" t="str">
        <x:v>N/A (Bypassed)</x:v>
      </x:c>
      <x:c r="J403" s="11" t="str">
        <x:v>N/A (Bypassed)</x:v>
      </x:c>
      <x:c r="K403" s="11" t="str">
        <x:v>N/A</x:v>
      </x:c>
      <x:c r="L403" s="11" t="n">
        <x:v>11.4526</x:v>
      </x:c>
      <x:c r="M403" s="11" t="n">
        <x:v>2.8465</x:v>
      </x:c>
      <x:c r="N403" s="1" t="str">
        <x:v>6898be28591c4e1abe73f83f56b307e4</x:v>
      </x:c>
      <x:c r="O403" s="1" t="str">
        <x:v>Admin Office - 1</x:v>
      </x:c>
      <x:c r="P403" s="1" t="n">
        <x:v>2</x:v>
      </x:c>
      <x:c r="Q403" s="1" t="str">
        <x:v>high_security_mode_logs</x:v>
      </x:c>
      <x:c r="R403" s="1" t="n">
        <x:v>23</x:v>
      </x:c>
      <x:c r="S403" s="1" t="str">
        <x:v>Reset exit</x:v>
      </x:c>
      <x:c r="T403" s="1"/>
      <x:c r="U403" s="5" t="str"/>
      <x:c r="V403" s="1" t="n">
        <x:v>0</x:v>
      </x:c>
      <x:c r="W403" s="1" t="n">
        <x:v>0</x:v>
      </x:c>
      <x:c r="X403" s="1" t="str">
        <x:v>Not applicable</x:v>
      </x:c>
      <x:c r="Y403" s="1" t="n">
        <x:f>IF(V403=1,IF(E403="GRANTED",IF(X403="GRANTED",1,0),IF(X403="DENIED",1,0)),0)</x:f>
        <x:v>0</x:v>
      </x:c>
    </x:row>
    <x:row r="404" ht="23" customHeight="1">
      <x:c r="A404" s="9" t="n">
        <x:v>46247.450792800926</x:v>
      </x:c>
      <x:c r="B404" s="1" t="str">
        <x:v>Juan Tamad</x:v>
      </x:c>
      <x:c r="C404" s="1" t="str">
        <x:v>Exit</x:v>
      </x:c>
      <x:c r="D404" s="1" t="str">
        <x:v>HighSecurity</x:v>
      </x:c>
      <x:c r="E404" s="1" t="str">
        <x:v>GRANTED</x:v>
      </x:c>
      <x:c r="F404" s="11" t="n">
        <x:v>11.2624</x:v>
      </x:c>
      <x:c r="G404" s="11" t="str">
        <x:v>N/A (Bypassed)</x:v>
      </x:c>
      <x:c r="H404" s="11" t="str">
        <x:v>N/A (Bypassed)</x:v>
      </x:c>
      <x:c r="I404" s="11" t="str">
        <x:v>N/A (Bypassed)</x:v>
      </x:c>
      <x:c r="J404" s="11" t="str">
        <x:v>N/A (Bypassed)</x:v>
      </x:c>
      <x:c r="K404" s="11" t="str">
        <x:v>N/A</x:v>
      </x:c>
      <x:c r="L404" s="11" t="n">
        <x:v>11.2624</x:v>
      </x:c>
      <x:c r="M404" s="11" t="n">
        <x:v>2.6652</x:v>
      </x:c>
      <x:c r="N404" s="1" t="str">
        <x:v>6898be28591c4e1abe73f83f56b307e4</x:v>
      </x:c>
      <x:c r="O404" s="1" t="str">
        <x:v>Admin Office - 1</x:v>
      </x:c>
      <x:c r="P404" s="1" t="n">
        <x:v>2</x:v>
      </x:c>
      <x:c r="Q404" s="1" t="str">
        <x:v>high_security_mode_logs</x:v>
      </x:c>
      <x:c r="R404" s="1" t="n">
        <x:v>24</x:v>
      </x:c>
      <x:c r="S404" s="1" t="str">
        <x:v>Reset exit</x:v>
      </x:c>
      <x:c r="T404" s="1"/>
      <x:c r="U404" s="5" t="str"/>
      <x:c r="V404" s="1" t="n">
        <x:v>0</x:v>
      </x:c>
      <x:c r="W404" s="1" t="n">
        <x:v>0</x:v>
      </x:c>
      <x:c r="X404" s="1" t="str">
        <x:v>Not applicable</x:v>
      </x:c>
      <x:c r="Y404" s="1" t="n">
        <x:f>IF(V404=1,IF(E404="GRANTED",IF(X404="GRANTED",1,0),IF(X404="DENIED",1,0)),0)</x:f>
        <x:v>0</x:v>
      </x:c>
    </x:row>
    <x:row r="405" ht="23" customHeight="1">
      <x:c r="A405" s="9" t="n">
        <x:v>46247.45077355324</x:v>
      </x:c>
      <x:c r="B405" s="1" t="str">
        <x:v>Luningning Santos</x:v>
      </x:c>
      <x:c r="C405" s="1" t="str">
        <x:v>Exit</x:v>
      </x:c>
      <x:c r="D405" s="1" t="str">
        <x:v>HighSecurity</x:v>
      </x:c>
      <x:c r="E405" s="1" t="str">
        <x:v>GRANTED</x:v>
      </x:c>
      <x:c r="F405" s="11" t="n">
        <x:v>10.7221</x:v>
      </x:c>
      <x:c r="G405" s="11" t="str">
        <x:v>N/A (Bypassed)</x:v>
      </x:c>
      <x:c r="H405" s="11" t="str">
        <x:v>N/A (Bypassed)</x:v>
      </x:c>
      <x:c r="I405" s="11" t="str">
        <x:v>N/A (Bypassed)</x:v>
      </x:c>
      <x:c r="J405" s="11" t="str">
        <x:v>N/A (Bypassed)</x:v>
      </x:c>
      <x:c r="K405" s="11" t="str">
        <x:v>N/A</x:v>
      </x:c>
      <x:c r="L405" s="11" t="n">
        <x:v>10.7221</x:v>
      </x:c>
      <x:c r="M405" s="11" t="n">
        <x:v>2.6634</x:v>
      </x:c>
      <x:c r="N405" s="1" t="str">
        <x:v>6898be28591c4e1abe73f83f56b307e4</x:v>
      </x:c>
      <x:c r="O405" s="1" t="str">
        <x:v>Admin Office - 1</x:v>
      </x:c>
      <x:c r="P405" s="1" t="n">
        <x:v>2</x:v>
      </x:c>
      <x:c r="Q405" s="1" t="str">
        <x:v>high_security_mode_logs</x:v>
      </x:c>
      <x:c r="R405" s="1" t="n">
        <x:v>25</x:v>
      </x:c>
      <x:c r="S405" s="1" t="str">
        <x:v>Reset exit</x:v>
      </x:c>
      <x:c r="T405" s="1"/>
      <x:c r="U405" s="5" t="str"/>
      <x:c r="V405" s="1" t="n">
        <x:v>0</x:v>
      </x:c>
      <x:c r="W405" s="1" t="n">
        <x:v>0</x:v>
      </x:c>
      <x:c r="X405" s="1" t="str">
        <x:v>Not applicable</x:v>
      </x:c>
      <x:c r="Y405" s="1" t="n">
        <x:f>IF(V405=1,IF(E405="GRANTED",IF(X405="GRANTED",1,0),IF(X405="DENIED",1,0)),0)</x:f>
        <x:v>0</x:v>
      </x:c>
    </x:row>
    <x:row r="406" ht="23" customHeight="1">
      <x:c r="A406" s="9" t="n">
        <x:v>46247.45075495371</x:v>
      </x:c>
      <x:c r="B406" s="1" t="str">
        <x:v>Teresita Gonzales</x:v>
      </x:c>
      <x:c r="C406" s="1" t="str">
        <x:v>Exit</x:v>
      </x:c>
      <x:c r="D406" s="1" t="str">
        <x:v>HighSecurity</x:v>
      </x:c>
      <x:c r="E406" s="1" t="str">
        <x:v>GRANTED</x:v>
      </x:c>
      <x:c r="F406" s="11" t="n">
        <x:v>10.2627</x:v>
      </x:c>
      <x:c r="G406" s="11" t="str">
        <x:v>N/A (Bypassed)</x:v>
      </x:c>
      <x:c r="H406" s="11" t="str">
        <x:v>N/A (Bypassed)</x:v>
      </x:c>
      <x:c r="I406" s="11" t="str">
        <x:v>N/A (Bypassed)</x:v>
      </x:c>
      <x:c r="J406" s="11" t="str">
        <x:v>N/A (Bypassed)</x:v>
      </x:c>
      <x:c r="K406" s="11" t="str">
        <x:v>N/A</x:v>
      </x:c>
      <x:c r="L406" s="11" t="n">
        <x:v>10.2627</x:v>
      </x:c>
      <x:c r="M406" s="11" t="n">
        <x:v>3.1506</x:v>
      </x:c>
      <x:c r="N406" s="1" t="str">
        <x:v>6898be28591c4e1abe73f83f56b307e4</x:v>
      </x:c>
      <x:c r="O406" s="1" t="str">
        <x:v>Admin Office - 1</x:v>
      </x:c>
      <x:c r="P406" s="1" t="n">
        <x:v>2</x:v>
      </x:c>
      <x:c r="Q406" s="1" t="str">
        <x:v>high_security_mode_logs</x:v>
      </x:c>
      <x:c r="R406" s="1" t="n">
        <x:v>26</x:v>
      </x:c>
      <x:c r="S406" s="1" t="str">
        <x:v>Reset exit</x:v>
      </x:c>
      <x:c r="T406" s="1"/>
      <x:c r="U406" s="5" t="str"/>
      <x:c r="V406" s="1" t="n">
        <x:v>0</x:v>
      </x:c>
      <x:c r="W406" s="1" t="n">
        <x:v>0</x:v>
      </x:c>
      <x:c r="X406" s="1" t="str">
        <x:v>Not applicable</x:v>
      </x:c>
      <x:c r="Y406" s="1" t="n">
        <x:f>IF(V406=1,IF(E406="GRANTED",IF(X406="GRANTED",1,0),IF(X406="DENIED",1,0)),0)</x:f>
        <x:v>0</x:v>
      </x:c>
    </x:row>
    <x:row r="407" ht="23" customHeight="1">
      <x:c r="A407" s="9" t="n">
        <x:v>46247.450732893514</x:v>
      </x:c>
      <x:c r="B407" s="1" t="str">
        <x:v>Ana Delos Reyes</x:v>
      </x:c>
      <x:c r="C407" s="1" t="str">
        <x:v>Exit</x:v>
      </x:c>
      <x:c r="D407" s="1" t="str">
        <x:v>HighSecurity</x:v>
      </x:c>
      <x:c r="E407" s="1" t="str">
        <x:v>GRANTED</x:v>
      </x:c>
      <x:c r="F407" s="11" t="n">
        <x:v>11.1223</x:v>
      </x:c>
      <x:c r="G407" s="11" t="str">
        <x:v>N/A (Bypassed)</x:v>
      </x:c>
      <x:c r="H407" s="11" t="str">
        <x:v>N/A (Bypassed)</x:v>
      </x:c>
      <x:c r="I407" s="11" t="str">
        <x:v>N/A (Bypassed)</x:v>
      </x:c>
      <x:c r="J407" s="11" t="str">
        <x:v>N/A (Bypassed)</x:v>
      </x:c>
      <x:c r="K407" s="11" t="str">
        <x:v>N/A</x:v>
      </x:c>
      <x:c r="L407" s="11" t="n">
        <x:v>11.1223</x:v>
      </x:c>
      <x:c r="M407" s="11" t="n">
        <x:v>4.1121</x:v>
      </x:c>
      <x:c r="N407" s="1" t="str">
        <x:v>6898be28591c4e1abe73f83f56b307e4</x:v>
      </x:c>
      <x:c r="O407" s="1" t="str">
        <x:v>Admin Office - 1</x:v>
      </x:c>
      <x:c r="P407" s="1" t="n">
        <x:v>2</x:v>
      </x:c>
      <x:c r="Q407" s="1" t="str">
        <x:v>high_security_mode_logs</x:v>
      </x:c>
      <x:c r="R407" s="1" t="n">
        <x:v>27</x:v>
      </x:c>
      <x:c r="S407" s="1" t="str">
        <x:v>Reset exit</x:v>
      </x:c>
      <x:c r="T407" s="1"/>
      <x:c r="U407" s="5" t="str"/>
      <x:c r="V407" s="1" t="n">
        <x:v>0</x:v>
      </x:c>
      <x:c r="W407" s="1" t="n">
        <x:v>0</x:v>
      </x:c>
      <x:c r="X407" s="1" t="str">
        <x:v>Not applicable</x:v>
      </x:c>
      <x:c r="Y407" s="1" t="n">
        <x:f>IF(V407=1,IF(E407="GRANTED",IF(X407="GRANTED",1,0),IF(X407="DENIED",1,0)),0)</x:f>
        <x:v>0</x:v>
      </x:c>
    </x:row>
    <x:row r="408" ht="23" customHeight="1">
      <x:c r="A408" s="9" t="n">
        <x:v>46247.45070371528</x:v>
      </x:c>
      <x:c r="B408" s="1" t="str">
        <x:v>Maria Santos</x:v>
      </x:c>
      <x:c r="C408" s="1" t="str">
        <x:v>Exit</x:v>
      </x:c>
      <x:c r="D408" s="1" t="str">
        <x:v>HighSecurity</x:v>
      </x:c>
      <x:c r="E408" s="1" t="str">
        <x:v>GRANTED</x:v>
      </x:c>
      <x:c r="F408" s="11" t="n">
        <x:v>12.1023</x:v>
      </x:c>
      <x:c r="G408" s="11" t="str">
        <x:v>N/A (Bypassed)</x:v>
      </x:c>
      <x:c r="H408" s="11" t="str">
        <x:v>N/A (Bypassed)</x:v>
      </x:c>
      <x:c r="I408" s="11" t="str">
        <x:v>N/A (Bypassed)</x:v>
      </x:c>
      <x:c r="J408" s="11" t="str">
        <x:v>N/A (Bypassed)</x:v>
      </x:c>
      <x:c r="K408" s="11" t="str">
        <x:v>N/A</x:v>
      </x:c>
      <x:c r="L408" s="11" t="n">
        <x:v>12.1023</x:v>
      </x:c>
      <x:c r="M408" s="11" t="n">
        <x:v>2.9089</x:v>
      </x:c>
      <x:c r="N408" s="1" t="str">
        <x:v>6898be28591c4e1abe73f83f56b307e4</x:v>
      </x:c>
      <x:c r="O408" s="1" t="str">
        <x:v>Admin Office - 1</x:v>
      </x:c>
      <x:c r="P408" s="1" t="n">
        <x:v>2</x:v>
      </x:c>
      <x:c r="Q408" s="1" t="str">
        <x:v>high_security_mode_logs</x:v>
      </x:c>
      <x:c r="R408" s="1" t="n">
        <x:v>28</x:v>
      </x:c>
      <x:c r="S408" s="1" t="str">
        <x:v>Reset exit</x:v>
      </x:c>
      <x:c r="T408" s="1"/>
      <x:c r="U408" s="5" t="str"/>
      <x:c r="V408" s="1" t="n">
        <x:v>0</x:v>
      </x:c>
      <x:c r="W408" s="1" t="n">
        <x:v>0</x:v>
      </x:c>
      <x:c r="X408" s="1" t="str">
        <x:v>Not applicable</x:v>
      </x:c>
      <x:c r="Y408" s="1" t="n">
        <x:f>IF(V408=1,IF(E408="GRANTED",IF(X408="GRANTED",1,0),IF(X408="DENIED",1,0)),0)</x:f>
        <x:v>0</x:v>
      </x:c>
    </x:row>
    <x:row r="409" ht="23" customHeight="1">
      <x:c r="A409" s="9" t="n">
        <x:v>46247.45067450231</x:v>
      </x:c>
      <x:c r="B409" s="1" t="str">
        <x:v>Maria Clara</x:v>
      </x:c>
      <x:c r="C409" s="1" t="str">
        <x:v>Exit</x:v>
      </x:c>
      <x:c r="D409" s="1" t="str">
        <x:v>HighSecurity</x:v>
      </x:c>
      <x:c r="E409" s="1" t="str">
        <x:v>GRANTED</x:v>
      </x:c>
      <x:c r="F409" s="11" t="n">
        <x:v>9.0782</x:v>
      </x:c>
      <x:c r="G409" s="11" t="str">
        <x:v>N/A (Bypassed)</x:v>
      </x:c>
      <x:c r="H409" s="11" t="str">
        <x:v>N/A (Bypassed)</x:v>
      </x:c>
      <x:c r="I409" s="11" t="str">
        <x:v>N/A (Bypassed)</x:v>
      </x:c>
      <x:c r="J409" s="11" t="str">
        <x:v>N/A (Bypassed)</x:v>
      </x:c>
      <x:c r="K409" s="11" t="str">
        <x:v>N/A</x:v>
      </x:c>
      <x:c r="L409" s="11" t="n">
        <x:v>9.0782</x:v>
      </x:c>
      <x:c r="M409" s="11" t="n">
        <x:v>1.9471</x:v>
      </x:c>
      <x:c r="N409" s="1" t="str">
        <x:v>6898be28591c4e1abe73f83f56b307e4</x:v>
      </x:c>
      <x:c r="O409" s="1" t="str">
        <x:v>Admin Office - 1</x:v>
      </x:c>
      <x:c r="P409" s="1" t="n">
        <x:v>2</x:v>
      </x:c>
      <x:c r="Q409" s="1" t="str">
        <x:v>high_security_mode_logs</x:v>
      </x:c>
      <x:c r="R409" s="1" t="n">
        <x:v>29</x:v>
      </x:c>
      <x:c r="S409" s="1" t="str">
        <x:v>Reset exit</x:v>
      </x:c>
      <x:c r="T409" s="1"/>
      <x:c r="U409" s="5" t="str"/>
      <x:c r="V409" s="1" t="n">
        <x:v>0</x:v>
      </x:c>
      <x:c r="W409" s="1" t="n">
        <x:v>0</x:v>
      </x:c>
      <x:c r="X409" s="1" t="str">
        <x:v>Not applicable</x:v>
      </x:c>
      <x:c r="Y409" s="1" t="n">
        <x:f>IF(V409=1,IF(E409="GRANTED",IF(X409="GRANTED",1,0),IF(X409="DENIED",1,0)),0)</x:f>
        <x:v>0</x:v>
      </x:c>
    </x:row>
    <x:row r="410" ht="23" customHeight="1">
      <x:c r="A410" s="9" t="n">
        <x:v>46247.4506559375</x:v>
      </x:c>
      <x:c r="B410" s="1" t="str">
        <x:v>Juana Dela Cruz</x:v>
      </x:c>
      <x:c r="C410" s="1" t="str">
        <x:v>Exit</x:v>
      </x:c>
      <x:c r="D410" s="1" t="str">
        <x:v>HighSecurity</x:v>
      </x:c>
      <x:c r="E410" s="1" t="str">
        <x:v>GRANTED</x:v>
      </x:c>
      <x:c r="F410" s="11" t="n">
        <x:v>11.8425</x:v>
      </x:c>
      <x:c r="G410" s="11" t="str">
        <x:v>N/A (Bypassed)</x:v>
      </x:c>
      <x:c r="H410" s="11" t="str">
        <x:v>N/A (Bypassed)</x:v>
      </x:c>
      <x:c r="I410" s="11" t="str">
        <x:v>N/A (Bypassed)</x:v>
      </x:c>
      <x:c r="J410" s="11" t="str">
        <x:v>N/A (Bypassed)</x:v>
      </x:c>
      <x:c r="K410" s="11" t="str">
        <x:v>N/A</x:v>
      </x:c>
      <x:c r="L410" s="11" t="n">
        <x:v>11.8425</x:v>
      </x:c>
      <x:c r="M410" s="11" t="n">
        <x:v>2.6866</x:v>
      </x:c>
      <x:c r="N410" s="1" t="str">
        <x:v>6898be28591c4e1abe73f83f56b307e4</x:v>
      </x:c>
      <x:c r="O410" s="1" t="str">
        <x:v>Admin Office - 1</x:v>
      </x:c>
      <x:c r="P410" s="1" t="n">
        <x:v>2</x:v>
      </x:c>
      <x:c r="Q410" s="1" t="str">
        <x:v>high_security_mode_logs</x:v>
      </x:c>
      <x:c r="R410" s="1" t="n">
        <x:v>30</x:v>
      </x:c>
      <x:c r="S410" s="1" t="str">
        <x:v>Reset exit</x:v>
      </x:c>
      <x:c r="T410" s="1"/>
      <x:c r="U410" s="5" t="str"/>
      <x:c r="V410" s="1" t="n">
        <x:v>0</x:v>
      </x:c>
      <x:c r="W410" s="1" t="n">
        <x:v>0</x:v>
      </x:c>
      <x:c r="X410" s="1" t="str">
        <x:v>Not applicable</x:v>
      </x:c>
      <x:c r="Y410" s="1" t="n">
        <x:f>IF(V410=1,IF(E410="GRANTED",IF(X410="GRANTED",1,0),IF(X410="DENIED",1,0)),0)</x:f>
        <x:v>0</x:v>
      </x:c>
    </x:row>
    <x:row r="411" ht="23" customHeight="1">
      <x:c r="A411" s="9" t="n">
        <x:v>46247.4506335301</x:v>
      </x:c>
      <x:c r="B411" s="1" t="str">
        <x:v>Maria Dela Cruz</x:v>
      </x:c>
      <x:c r="C411" s="1" t="str">
        <x:v>Exit</x:v>
      </x:c>
      <x:c r="D411" s="1" t="str">
        <x:v>HighSecurity</x:v>
      </x:c>
      <x:c r="E411" s="1" t="str">
        <x:v>GRANTED</x:v>
      </x:c>
      <x:c r="F411" s="11" t="n">
        <x:v>12.5096</x:v>
      </x:c>
      <x:c r="G411" s="11" t="str">
        <x:v>N/A (Bypassed)</x:v>
      </x:c>
      <x:c r="H411" s="11" t="str">
        <x:v>N/A (Bypassed)</x:v>
      </x:c>
      <x:c r="I411" s="11" t="str">
        <x:v>N/A (Bypassed)</x:v>
      </x:c>
      <x:c r="J411" s="11" t="str">
        <x:v>N/A (Bypassed)</x:v>
      </x:c>
      <x:c r="K411" s="11" t="str">
        <x:v>N/A</x:v>
      </x:c>
      <x:c r="L411" s="11" t="n">
        <x:v>12.5096</x:v>
      </x:c>
      <x:c r="M411" s="11" t="n">
        <x:v>4.8372</x:v>
      </x:c>
      <x:c r="N411" s="1" t="str">
        <x:v>6898be28591c4e1abe73f83f56b307e4</x:v>
      </x:c>
      <x:c r="O411" s="1" t="str">
        <x:v>Admin Office - 1</x:v>
      </x:c>
      <x:c r="P411" s="1" t="n">
        <x:v>2</x:v>
      </x:c>
      <x:c r="Q411" s="1" t="str">
        <x:v>high_security_mode_logs</x:v>
      </x:c>
      <x:c r="R411" s="1" t="n">
        <x:v>31</x:v>
      </x:c>
      <x:c r="S411" s="1" t="str">
        <x:v>Reset exit</x:v>
      </x:c>
      <x:c r="T411" s="1"/>
      <x:c r="U411" s="5" t="str"/>
      <x:c r="V411" s="1" t="n">
        <x:v>0</x:v>
      </x:c>
      <x:c r="W411" s="1" t="n">
        <x:v>0</x:v>
      </x:c>
      <x:c r="X411" s="1" t="str">
        <x:v>Not applicable</x:v>
      </x:c>
      <x:c r="Y411" s="1" t="n">
        <x:f>IF(V411=1,IF(E411="GRANTED",IF(X411="GRANTED",1,0),IF(X411="DENIED",1,0)),0)</x:f>
        <x:v>0</x:v>
      </x:c>
    </x:row>
    <x:row r="412" ht="23" customHeight="1">
      <x:c r="A412" s="9" t="n">
        <x:v>46247.45061503472</x:v>
      </x:c>
      <x:c r="B412" s="1" t="str">
        <x:v>Basilio Magbanua</x:v>
      </x:c>
      <x:c r="C412" s="1" t="str">
        <x:v>Exit</x:v>
      </x:c>
      <x:c r="D412" s="1" t="str">
        <x:v>HighSecurity</x:v>
      </x:c>
      <x:c r="E412" s="1" t="str">
        <x:v>GRANTED</x:v>
      </x:c>
      <x:c r="F412" s="11" t="n">
        <x:v>11.5606</x:v>
      </x:c>
      <x:c r="G412" s="11" t="str">
        <x:v>N/A (Bypassed)</x:v>
      </x:c>
      <x:c r="H412" s="11" t="str">
        <x:v>N/A (Bypassed)</x:v>
      </x:c>
      <x:c r="I412" s="11" t="str">
        <x:v>N/A (Bypassed)</x:v>
      </x:c>
      <x:c r="J412" s="11" t="str">
        <x:v>N/A (Bypassed)</x:v>
      </x:c>
      <x:c r="K412" s="11" t="str">
        <x:v>N/A</x:v>
      </x:c>
      <x:c r="L412" s="11" t="n">
        <x:v>11.5606</x:v>
      </x:c>
      <x:c r="M412" s="11" t="n">
        <x:v>2.7259</x:v>
      </x:c>
      <x:c r="N412" s="1" t="str">
        <x:v>6898be28591c4e1abe73f83f56b307e4</x:v>
      </x:c>
      <x:c r="O412" s="1" t="str">
        <x:v>Admin Office - 1</x:v>
      </x:c>
      <x:c r="P412" s="1" t="n">
        <x:v>2</x:v>
      </x:c>
      <x:c r="Q412" s="1" t="str">
        <x:v>high_security_mode_logs</x:v>
      </x:c>
      <x:c r="R412" s="1" t="n">
        <x:v>32</x:v>
      </x:c>
      <x:c r="S412" s="1" t="str">
        <x:v>Reset exit</x:v>
      </x:c>
      <x:c r="T412" s="1"/>
      <x:c r="U412" s="5" t="str"/>
      <x:c r="V412" s="1" t="n">
        <x:v>0</x:v>
      </x:c>
      <x:c r="W412" s="1" t="n">
        <x:v>0</x:v>
      </x:c>
      <x:c r="X412" s="1" t="str">
        <x:v>Not applicable</x:v>
      </x:c>
      <x:c r="Y412" s="1" t="n">
        <x:f>IF(V412=1,IF(E412="GRANTED",IF(X412="GRANTED",1,0),IF(X412="DENIED",1,0)),0)</x:f>
        <x:v>0</x:v>
      </x:c>
    </x:row>
    <x:row r="413" ht="23" customHeight="1">
      <x:c r="A413" s="9" t="n">
        <x:v>46247.45059604167</x:v>
      </x:c>
      <x:c r="B413" s="1" t="str">
        <x:v>Bayani Dela Rosa</x:v>
      </x:c>
      <x:c r="C413" s="1" t="str">
        <x:v>Exit</x:v>
      </x:c>
      <x:c r="D413" s="1" t="str">
        <x:v>HighSecurity</x:v>
      </x:c>
      <x:c r="E413" s="1" t="str">
        <x:v>GRANTED</x:v>
      </x:c>
      <x:c r="F413" s="11" t="n">
        <x:v>11.7851</x:v>
      </x:c>
      <x:c r="G413" s="11" t="str">
        <x:v>N/A (Bypassed)</x:v>
      </x:c>
      <x:c r="H413" s="11" t="str">
        <x:v>N/A (Bypassed)</x:v>
      </x:c>
      <x:c r="I413" s="11" t="str">
        <x:v>N/A (Bypassed)</x:v>
      </x:c>
      <x:c r="J413" s="11" t="str">
        <x:v>N/A (Bypassed)</x:v>
      </x:c>
      <x:c r="K413" s="11" t="str">
        <x:v>N/A</x:v>
      </x:c>
      <x:c r="L413" s="11" t="n">
        <x:v>11.7851</x:v>
      </x:c>
      <x:c r="M413" s="11" t="n">
        <x:v>4.8761</x:v>
      </x:c>
      <x:c r="N413" s="1" t="str">
        <x:v>6898be28591c4e1abe73f83f56b307e4</x:v>
      </x:c>
      <x:c r="O413" s="1" t="str">
        <x:v>Admin Office - 1</x:v>
      </x:c>
      <x:c r="P413" s="1" t="n">
        <x:v>2</x:v>
      </x:c>
      <x:c r="Q413" s="1" t="str">
        <x:v>high_security_mode_logs</x:v>
      </x:c>
      <x:c r="R413" s="1" t="n">
        <x:v>33</x:v>
      </x:c>
      <x:c r="S413" s="1" t="str">
        <x:v>Reset exit</x:v>
      </x:c>
      <x:c r="T413" s="1"/>
      <x:c r="U413" s="5" t="str"/>
      <x:c r="V413" s="1" t="n">
        <x:v>0</x:v>
      </x:c>
      <x:c r="W413" s="1" t="n">
        <x:v>0</x:v>
      </x:c>
      <x:c r="X413" s="1" t="str">
        <x:v>Not applicable</x:v>
      </x:c>
      <x:c r="Y413" s="1" t="n">
        <x:f>IF(V413=1,IF(E413="GRANTED",IF(X413="GRANTED",1,0),IF(X413="DENIED",1,0)),0)</x:f>
        <x:v>0</x:v>
      </x:c>
    </x:row>
    <x:row r="414" ht="23" customHeight="1">
      <x:c r="A414" s="9" t="n">
        <x:v>46247.45055804398</x:v>
      </x:c>
      <x:c r="B414" s="1" t="str">
        <x:v>Jose Mari Bautista</x:v>
      </x:c>
      <x:c r="C414" s="1" t="str">
        <x:v>Exit</x:v>
      </x:c>
      <x:c r="D414" s="1" t="str">
        <x:v>HighSecurity</x:v>
      </x:c>
      <x:c r="E414" s="1" t="str">
        <x:v>GRANTED</x:v>
      </x:c>
      <x:c r="F414" s="11" t="n">
        <x:v>10.7902</x:v>
      </x:c>
      <x:c r="G414" s="11" t="str">
        <x:v>N/A (Bypassed)</x:v>
      </x:c>
      <x:c r="H414" s="11" t="str">
        <x:v>N/A (Bypassed)</x:v>
      </x:c>
      <x:c r="I414" s="11" t="str">
        <x:v>N/A (Bypassed)</x:v>
      </x:c>
      <x:c r="J414" s="11" t="str">
        <x:v>N/A (Bypassed)</x:v>
      </x:c>
      <x:c r="K414" s="11" t="str">
        <x:v>N/A</x:v>
      </x:c>
      <x:c r="L414" s="11" t="n">
        <x:v>10.7902</x:v>
      </x:c>
      <x:c r="M414" s="11" t="n">
        <x:v>2.9557</x:v>
      </x:c>
      <x:c r="N414" s="1" t="str">
        <x:v>6898be28591c4e1abe73f83f56b307e4</x:v>
      </x:c>
      <x:c r="O414" s="1" t="str">
        <x:v>Admin Office - 1</x:v>
      </x:c>
      <x:c r="P414" s="1" t="n">
        <x:v>2</x:v>
      </x:c>
      <x:c r="Q414" s="1" t="str">
        <x:v>high_security_mode_logs</x:v>
      </x:c>
      <x:c r="R414" s="1" t="n">
        <x:v>34</x:v>
      </x:c>
      <x:c r="S414" s="1" t="str">
        <x:v>Reset exit</x:v>
      </x:c>
      <x:c r="T414" s="1"/>
      <x:c r="U414" s="5" t="str"/>
      <x:c r="V414" s="1" t="n">
        <x:v>0</x:v>
      </x:c>
      <x:c r="W414" s="1" t="n">
        <x:v>0</x:v>
      </x:c>
      <x:c r="X414" s="1" t="str">
        <x:v>Not applicable</x:v>
      </x:c>
      <x:c r="Y414" s="1" t="n">
        <x:f>IF(V414=1,IF(E414="GRANTED",IF(X414="GRANTED",1,0),IF(X414="DENIED",1,0)),0)</x:f>
        <x:v>0</x:v>
      </x:c>
    </x:row>
    <x:row r="415" ht="23" customHeight="1">
      <x:c r="A415" s="9" t="n">
        <x:v>46247.45054071759</x:v>
      </x:c>
      <x:c r="B415" s="1" t="str">
        <x:v>Angelito Fernandez</x:v>
      </x:c>
      <x:c r="C415" s="1" t="str">
        <x:v>Exit</x:v>
      </x:c>
      <x:c r="D415" s="1" t="str">
        <x:v>HighSecurity</x:v>
      </x:c>
      <x:c r="E415" s="1" t="str">
        <x:v>GRANTED</x:v>
      </x:c>
      <x:c r="F415" s="11" t="n">
        <x:v>10.3363</x:v>
      </x:c>
      <x:c r="G415" s="11" t="str">
        <x:v>N/A (Bypassed)</x:v>
      </x:c>
      <x:c r="H415" s="11" t="str">
        <x:v>N/A (Bypassed)</x:v>
      </x:c>
      <x:c r="I415" s="11" t="str">
        <x:v>N/A (Bypassed)</x:v>
      </x:c>
      <x:c r="J415" s="11" t="str">
        <x:v>N/A (Bypassed)</x:v>
      </x:c>
      <x:c r="K415" s="11" t="str">
        <x:v>N/A</x:v>
      </x:c>
      <x:c r="L415" s="11" t="n">
        <x:v>10.3363</x:v>
      </x:c>
      <x:c r="M415" s="11" t="n">
        <x:v>2.7654</x:v>
      </x:c>
      <x:c r="N415" s="1" t="str">
        <x:v>6898be28591c4e1abe73f83f56b307e4</x:v>
      </x:c>
      <x:c r="O415" s="1" t="str">
        <x:v>Admin Office - 1</x:v>
      </x:c>
      <x:c r="P415" s="1" t="n">
        <x:v>2</x:v>
      </x:c>
      <x:c r="Q415" s="1" t="str">
        <x:v>high_security_mode_logs</x:v>
      </x:c>
      <x:c r="R415" s="1" t="n">
        <x:v>35</x:v>
      </x:c>
      <x:c r="S415" s="1" t="str">
        <x:v>Reset exit</x:v>
      </x:c>
      <x:c r="T415" s="1"/>
      <x:c r="U415" s="5" t="str"/>
      <x:c r="V415" s="1" t="n">
        <x:v>0</x:v>
      </x:c>
      <x:c r="W415" s="1" t="n">
        <x:v>0</x:v>
      </x:c>
      <x:c r="X415" s="1" t="str">
        <x:v>Not applicable</x:v>
      </x:c>
      <x:c r="Y415" s="1" t="n">
        <x:f>IF(V415=1,IF(E415="GRANTED",IF(X415="GRANTED",1,0),IF(X415="DENIED",1,0)),0)</x:f>
        <x:v>0</x:v>
      </x:c>
    </x:row>
    <x:row r="416" ht="23" customHeight="1">
      <x:c r="A416" s="9" t="n">
        <x:v>46247.45052362268</x:v>
      </x:c>
      <x:c r="B416" s="1" t="str">
        <x:v>Roberto Ramos</x:v>
      </x:c>
      <x:c r="C416" s="1" t="str">
        <x:v>Exit</x:v>
      </x:c>
      <x:c r="D416" s="1" t="str">
        <x:v>HighSecurity</x:v>
      </x:c>
      <x:c r="E416" s="1" t="str">
        <x:v>GRANTED</x:v>
      </x:c>
      <x:c r="F416" s="11" t="n">
        <x:v>10.8413</x:v>
      </x:c>
      <x:c r="G416" s="11" t="str">
        <x:v>N/A (Bypassed)</x:v>
      </x:c>
      <x:c r="H416" s="11" t="str">
        <x:v>N/A (Bypassed)</x:v>
      </x:c>
      <x:c r="I416" s="11" t="str">
        <x:v>N/A (Bypassed)</x:v>
      </x:c>
      <x:c r="J416" s="11" t="str">
        <x:v>N/A (Bypassed)</x:v>
      </x:c>
      <x:c r="K416" s="11" t="str">
        <x:v>N/A</x:v>
      </x:c>
      <x:c r="L416" s="11" t="n">
        <x:v>10.8413</x:v>
      </x:c>
      <x:c r="M416" s="11" t="n">
        <x:v>2.7237</x:v>
      </x:c>
      <x:c r="N416" s="1" t="str">
        <x:v>6898be28591c4e1abe73f83f56b307e4</x:v>
      </x:c>
      <x:c r="O416" s="1" t="str">
        <x:v>Admin Office - 1</x:v>
      </x:c>
      <x:c r="P416" s="1" t="n">
        <x:v>2</x:v>
      </x:c>
      <x:c r="Q416" s="1" t="str">
        <x:v>high_security_mode_logs</x:v>
      </x:c>
      <x:c r="R416" s="1" t="n">
        <x:v>36</x:v>
      </x:c>
      <x:c r="S416" s="1" t="str">
        <x:v>Reset exit</x:v>
      </x:c>
      <x:c r="T416" s="1"/>
      <x:c r="U416" s="5" t="str"/>
      <x:c r="V416" s="1" t="n">
        <x:v>0</x:v>
      </x:c>
      <x:c r="W416" s="1" t="n">
        <x:v>0</x:v>
      </x:c>
      <x:c r="X416" s="1" t="str">
        <x:v>Not applicable</x:v>
      </x:c>
      <x:c r="Y416" s="1" t="n">
        <x:f>IF(V416=1,IF(E416="GRANTED",IF(X416="GRANTED",1,0),IF(X416="DENIED",1,0)),0)</x:f>
        <x:v>0</x:v>
      </x:c>
    </x:row>
    <x:row r="417" ht="23" customHeight="1">
      <x:c r="A417" s="9" t="n">
        <x:v>46247.45050590277</x:v>
      </x:c>
      <x:c r="B417" s="1" t="str">
        <x:v>Juanito Delos Santos</x:v>
      </x:c>
      <x:c r="C417" s="1" t="str">
        <x:v>Exit</x:v>
      </x:c>
      <x:c r="D417" s="1" t="str">
        <x:v>HighSecurity</x:v>
      </x:c>
      <x:c r="E417" s="1" t="str">
        <x:v>GRANTED</x:v>
      </x:c>
      <x:c r="F417" s="11" t="n">
        <x:v>12.4176</x:v>
      </x:c>
      <x:c r="G417" s="11" t="str">
        <x:v>N/A (Bypassed)</x:v>
      </x:c>
      <x:c r="H417" s="11" t="str">
        <x:v>N/A (Bypassed)</x:v>
      </x:c>
      <x:c r="I417" s="11" t="str">
        <x:v>N/A (Bypassed)</x:v>
      </x:c>
      <x:c r="J417" s="11" t="str">
        <x:v>N/A (Bypassed)</x:v>
      </x:c>
      <x:c r="K417" s="11" t="str">
        <x:v>N/A</x:v>
      </x:c>
      <x:c r="L417" s="11" t="n">
        <x:v>12.4176</x:v>
      </x:c>
      <x:c r="M417" s="11" t="n">
        <x:v>4.8531</x:v>
      </x:c>
      <x:c r="N417" s="1" t="str">
        <x:v>6898be28591c4e1abe73f83f56b307e4</x:v>
      </x:c>
      <x:c r="O417" s="1" t="str">
        <x:v>Admin Office - 1</x:v>
      </x:c>
      <x:c r="P417" s="1" t="n">
        <x:v>2</x:v>
      </x:c>
      <x:c r="Q417" s="1" t="str">
        <x:v>high_security_mode_logs</x:v>
      </x:c>
      <x:c r="R417" s="1" t="n">
        <x:v>37</x:v>
      </x:c>
      <x:c r="S417" s="1" t="str">
        <x:v>Reset exit</x:v>
      </x:c>
      <x:c r="T417" s="1"/>
      <x:c r="U417" s="5" t="str"/>
      <x:c r="V417" s="1" t="n">
        <x:v>0</x:v>
      </x:c>
      <x:c r="W417" s="1" t="n">
        <x:v>0</x:v>
      </x:c>
      <x:c r="X417" s="1" t="str">
        <x:v>Not applicable</x:v>
      </x:c>
      <x:c r="Y417" s="1" t="n">
        <x:f>IF(V417=1,IF(E417="GRANTED",IF(X417="GRANTED",1,0),IF(X417="DENIED",1,0)),0)</x:f>
        <x:v>0</x:v>
      </x:c>
    </x:row>
    <x:row r="418" ht="23" customHeight="1">
      <x:c r="A418" s="9" t="n">
        <x:v>46247.45048636574</x:v>
      </x:c>
      <x:c r="B418" s="1" t="str">
        <x:v>[TEMP] Manuel Mendoza</x:v>
      </x:c>
      <x:c r="C418" s="1" t="str">
        <x:v>Exit</x:v>
      </x:c>
      <x:c r="D418" s="1" t="str">
        <x:v>HighSecurity</x:v>
      </x:c>
      <x:c r="E418" s="1" t="str">
        <x:v>GRANTED</x:v>
      </x:c>
      <x:c r="F418" s="11" t="n">
        <x:v>10.8727</x:v>
      </x:c>
      <x:c r="G418" s="11" t="str">
        <x:v>N/A (Bypassed)</x:v>
      </x:c>
      <x:c r="H418" s="11" t="str">
        <x:v>N/A (Bypassed)</x:v>
      </x:c>
      <x:c r="I418" s="11" t="str">
        <x:v>N/A (Bypassed)</x:v>
      </x:c>
      <x:c r="J418" s="11" t="str">
        <x:v>N/A (Bypassed)</x:v>
      </x:c>
      <x:c r="K418" s="11" t="str">
        <x:v>N/A</x:v>
      </x:c>
      <x:c r="L418" s="11" t="n">
        <x:v>10.8727</x:v>
      </x:c>
      <x:c r="M418" s="11" t="n">
        <x:v>3.0168</x:v>
      </x:c>
      <x:c r="N418" s="1" t="str">
        <x:v>6898be28591c4e1abe73f83f56b307e4</x:v>
      </x:c>
      <x:c r="O418" s="1" t="str">
        <x:v>Admin Office - 1</x:v>
      </x:c>
      <x:c r="P418" s="1" t="n">
        <x:v>2</x:v>
      </x:c>
      <x:c r="Q418" s="1" t="str">
        <x:v>high_security_mode_logs</x:v>
      </x:c>
      <x:c r="R418" s="1" t="n">
        <x:v>38</x:v>
      </x:c>
      <x:c r="S418" s="1" t="str">
        <x:v>Reset exit</x:v>
      </x:c>
      <x:c r="T418" s="1"/>
      <x:c r="U418" s="5" t="str"/>
      <x:c r="V418" s="1" t="n">
        <x:v>0</x:v>
      </x:c>
      <x:c r="W418" s="1" t="n">
        <x:v>0</x:v>
      </x:c>
      <x:c r="X418" s="1" t="str">
        <x:v>Not applicable</x:v>
      </x:c>
      <x:c r="Y418" s="1" t="n">
        <x:f>IF(V418=1,IF(E418="GRANTED",IF(X418="GRANTED",1,0),IF(X418="DENIED",1,0)),0)</x:f>
        <x:v>0</x:v>
      </x:c>
    </x:row>
    <x:row r="419" ht="23" customHeight="1">
      <x:c r="A419" s="9" t="n">
        <x:v>46247.450453530095</x:v>
      </x:c>
      <x:c r="B419" s="1" t="str">
        <x:v>Francisco Garcia</x:v>
      </x:c>
      <x:c r="C419" s="1" t="str">
        <x:v>Exit</x:v>
      </x:c>
      <x:c r="D419" s="1" t="str">
        <x:v>HighSecurity</x:v>
      </x:c>
      <x:c r="E419" s="1" t="str">
        <x:v>GRANTED</x:v>
      </x:c>
      <x:c r="F419" s="11" t="n">
        <x:v>7.4356</x:v>
      </x:c>
      <x:c r="G419" s="11" t="str">
        <x:v>N/A (Bypassed)</x:v>
      </x:c>
      <x:c r="H419" s="11" t="str">
        <x:v>N/A (Bypassed)</x:v>
      </x:c>
      <x:c r="I419" s="11" t="str">
        <x:v>N/A (Bypassed)</x:v>
      </x:c>
      <x:c r="J419" s="11" t="str">
        <x:v>N/A (Bypassed)</x:v>
      </x:c>
      <x:c r="K419" s="11" t="str">
        <x:v>N/A</x:v>
      </x:c>
      <x:c r="L419" s="11" t="n">
        <x:v>7.4356</x:v>
      </x:c>
      <x:c r="M419" s="11" t="n">
        <x:v>0.6463</x:v>
      </x:c>
      <x:c r="N419" s="1" t="str">
        <x:v>6898be28591c4e1abe73f83f56b307e4</x:v>
      </x:c>
      <x:c r="O419" s="1" t="str">
        <x:v>Admin Office - 1</x:v>
      </x:c>
      <x:c r="P419" s="1" t="n">
        <x:v>2</x:v>
      </x:c>
      <x:c r="Q419" s="1" t="str">
        <x:v>high_security_mode_logs</x:v>
      </x:c>
      <x:c r="R419" s="1" t="n">
        <x:v>39</x:v>
      </x:c>
      <x:c r="S419" s="1" t="str">
        <x:v>Reset exit</x:v>
      </x:c>
      <x:c r="T419" s="1"/>
      <x:c r="U419" s="5" t="str"/>
      <x:c r="V419" s="1" t="n">
        <x:v>0</x:v>
      </x:c>
      <x:c r="W419" s="1" t="n">
        <x:v>0</x:v>
      </x:c>
      <x:c r="X419" s="1" t="str">
        <x:v>Not applicable</x:v>
      </x:c>
      <x:c r="Y419" s="1" t="n">
        <x:f>IF(V419=1,IF(E419="GRANTED",IF(X419="GRANTED",1,0),IF(X419="DENIED",1,0)),0)</x:f>
        <x:v>0</x:v>
      </x:c>
    </x:row>
    <x:row r="420" ht="23" customHeight="1">
      <x:c r="A420" s="9" t="n">
        <x:v>46247.4504040625</x:v>
      </x:c>
      <x:c r="B420" s="1" t="str">
        <x:v>[TEMP] Pedro Reyes</x:v>
      </x:c>
      <x:c r="C420" s="1" t="str">
        <x:v>Exit</x:v>
      </x:c>
      <x:c r="D420" s="1" t="str">
        <x:v>HighSecurity</x:v>
      </x:c>
      <x:c r="E420" s="1" t="str">
        <x:v>GRANTED</x:v>
      </x:c>
      <x:c r="F420" s="11" t="n">
        <x:v>13.0331</x:v>
      </x:c>
      <x:c r="G420" s="11" t="str">
        <x:v>N/A (Bypassed)</x:v>
      </x:c>
      <x:c r="H420" s="11" t="str">
        <x:v>N/A (Bypassed)</x:v>
      </x:c>
      <x:c r="I420" s="11" t="str">
        <x:v>N/A (Bypassed)</x:v>
      </x:c>
      <x:c r="J420" s="11" t="str">
        <x:v>N/A (Bypassed)</x:v>
      </x:c>
      <x:c r="K420" s="11" t="str">
        <x:v>N/A</x:v>
      </x:c>
      <x:c r="L420" s="11" t="n">
        <x:v>13.0331</x:v>
      </x:c>
      <x:c r="M420" s="11" t="n">
        <x:v>5.2264</x:v>
      </x:c>
      <x:c r="N420" s="1" t="str">
        <x:v>6898be28591c4e1abe73f83f56b307e4</x:v>
      </x:c>
      <x:c r="O420" s="1" t="str">
        <x:v>Admin Office - 1</x:v>
      </x:c>
      <x:c r="P420" s="1" t="n">
        <x:v>2</x:v>
      </x:c>
      <x:c r="Q420" s="1" t="str">
        <x:v>high_security_mode_logs</x:v>
      </x:c>
      <x:c r="R420" s="1" t="n">
        <x:v>40</x:v>
      </x:c>
      <x:c r="S420" s="1" t="str">
        <x:v>Reset exit</x:v>
      </x:c>
      <x:c r="T420" s="1"/>
      <x:c r="U420" s="5" t="str"/>
      <x:c r="V420" s="1" t="n">
        <x:v>0</x:v>
      </x:c>
      <x:c r="W420" s="1" t="n">
        <x:v>0</x:v>
      </x:c>
      <x:c r="X420" s="1" t="str">
        <x:v>Not applicable</x:v>
      </x:c>
      <x:c r="Y420" s="1" t="n">
        <x:f>IF(V420=1,IF(E420="GRANTED",IF(X420="GRANTED",1,0),IF(X420="DENIED",1,0)),0)</x:f>
        <x:v>0</x:v>
      </x:c>
    </x:row>
    <x:row r="421" ht="23" customHeight="1">
      <x:c r="A421" s="9" t="n">
        <x:v>46247.45038581018</x:v>
      </x:c>
      <x:c r="B421" s="1" t="str">
        <x:v>[TEMP] Jose Santos</x:v>
      </x:c>
      <x:c r="C421" s="1" t="str">
        <x:v>Exit</x:v>
      </x:c>
      <x:c r="D421" s="1" t="str">
        <x:v>HighSecurity</x:v>
      </x:c>
      <x:c r="E421" s="1" t="str">
        <x:v>GRANTED</x:v>
      </x:c>
      <x:c r="F421" s="11" t="n">
        <x:v>13.3171</x:v>
      </x:c>
      <x:c r="G421" s="11" t="str">
        <x:v>N/A (Bypassed)</x:v>
      </x:c>
      <x:c r="H421" s="11" t="str">
        <x:v>N/A (Bypassed)</x:v>
      </x:c>
      <x:c r="I421" s="11" t="str">
        <x:v>N/A (Bypassed)</x:v>
      </x:c>
      <x:c r="J421" s="11" t="str">
        <x:v>N/A (Bypassed)</x:v>
      </x:c>
      <x:c r="K421" s="11" t="str">
        <x:v>N/A</x:v>
      </x:c>
      <x:c r="L421" s="11" t="n">
        <x:v>13.3171</x:v>
      </x:c>
      <x:c r="M421" s="11" t="n">
        <x:v>5.2366</x:v>
      </x:c>
      <x:c r="N421" s="1" t="str">
        <x:v>6898be28591c4e1abe73f83f56b307e4</x:v>
      </x:c>
      <x:c r="O421" s="1" t="str">
        <x:v>Admin Office - 1</x:v>
      </x:c>
      <x:c r="P421" s="1" t="n">
        <x:v>2</x:v>
      </x:c>
      <x:c r="Q421" s="1" t="str">
        <x:v>high_security_mode_logs</x:v>
      </x:c>
      <x:c r="R421" s="1" t="n">
        <x:v>41</x:v>
      </x:c>
      <x:c r="S421" s="1" t="str">
        <x:v>Reset exit</x:v>
      </x:c>
      <x:c r="T421" s="1"/>
      <x:c r="U421" s="5" t="str"/>
      <x:c r="V421" s="1" t="n">
        <x:v>0</x:v>
      </x:c>
      <x:c r="W421" s="1" t="n">
        <x:v>0</x:v>
      </x:c>
      <x:c r="X421" s="1" t="str">
        <x:v>Not applicable</x:v>
      </x:c>
      <x:c r="Y421" s="1" t="n">
        <x:f>IF(V421=1,IF(E421="GRANTED",IF(X421="GRANTED",1,0),IF(X421="DENIED",1,0)),0)</x:f>
        <x:v>0</x:v>
      </x:c>
    </x:row>
    <x:row r="422" ht="23" customHeight="1">
      <x:c r="A422" s="9" t="n">
        <x:v>46247.45036304399</x:v>
      </x:c>
      <x:c r="B422" s="1" t="str">
        <x:v>[TEMP] Juan Dela Cruz</x:v>
      </x:c>
      <x:c r="C422" s="1" t="str">
        <x:v>Exit</x:v>
      </x:c>
      <x:c r="D422" s="1" t="str">
        <x:v>HighSecurity</x:v>
      </x:c>
      <x:c r="E422" s="1" t="str">
        <x:v>GRANTED</x:v>
      </x:c>
      <x:c r="F422" s="11" t="n">
        <x:v>8.8726</x:v>
      </x:c>
      <x:c r="G422" s="11" t="str">
        <x:v>N/A (Bypassed)</x:v>
      </x:c>
      <x:c r="H422" s="11" t="str">
        <x:v>N/A (Bypassed)</x:v>
      </x:c>
      <x:c r="I422" s="11" t="str">
        <x:v>N/A (Bypassed)</x:v>
      </x:c>
      <x:c r="J422" s="11" t="str">
        <x:v>N/A (Bypassed)</x:v>
      </x:c>
      <x:c r="K422" s="11" t="str">
        <x:v>N/A</x:v>
      </x:c>
      <x:c r="L422" s="11" t="n">
        <x:v>8.8726</x:v>
      </x:c>
      <x:c r="M422" s="11" t="n">
        <x:v>2.2147</x:v>
      </x:c>
      <x:c r="N422" s="1" t="str">
        <x:v>6898be28591c4e1abe73f83f56b307e4</x:v>
      </x:c>
      <x:c r="O422" s="1" t="str">
        <x:v>Admin Office - 1</x:v>
      </x:c>
      <x:c r="P422" s="1" t="n">
        <x:v>2</x:v>
      </x:c>
      <x:c r="Q422" s="1" t="str">
        <x:v>high_security_mode_logs</x:v>
      </x:c>
      <x:c r="R422" s="1" t="n">
        <x:v>42</x:v>
      </x:c>
      <x:c r="S422" s="1" t="str">
        <x:v>Reset exit</x:v>
      </x:c>
      <x:c r="T422" s="1"/>
      <x:c r="U422" s="5" t="str"/>
      <x:c r="V422" s="1" t="n">
        <x:v>0</x:v>
      </x:c>
      <x:c r="W422" s="1" t="n">
        <x:v>0</x:v>
      </x:c>
      <x:c r="X422" s="1" t="str">
        <x:v>Not applicable</x:v>
      </x:c>
      <x:c r="Y422" s="1" t="n">
        <x:f>IF(V422=1,IF(E422="GRANTED",IF(X422="GRANTED",1,0),IF(X422="DENIED",1,0)),0)</x:f>
        <x:v>0</x:v>
      </x:c>
    </x:row>
    <x:row r="423" ht="23" customHeight="1">
      <x:c r="A423" s="9" t="n">
        <x:v>46247.45022467592</x:v>
      </x:c>
      <x:c r="B423" s="1" t="str">
        <x:v>Pedro Penduko</x:v>
      </x:c>
      <x:c r="C423" s="1" t="str">
        <x:v>Entry</x:v>
      </x:c>
      <x:c r="D423" s="1" t="str">
        <x:v>HighSecurity</x:v>
      </x:c>
      <x:c r="E423" s="1" t="str">
        <x:v>GRANTED</x:v>
      </x:c>
      <x:c r="F423" s="11" t="n">
        <x:v>12.0634</x:v>
      </x:c>
      <x:c r="G423" s="11" t="n">
        <x:v>1539.899</x:v>
      </x:c>
      <x:c r="H423" s="11" t="n">
        <x:v>36.7527</x:v>
      </x:c>
      <x:c r="I423" s="11" t="n">
        <x:v>2855.459</x:v>
      </x:c>
      <x:c r="J423" s="11" t="n">
        <x:v>2.6227</x:v>
      </x:c>
      <x:c r="K423" s="11" t="n">
        <x:v>4395.358</x:v>
      </x:c>
      <x:c r="L423" s="11" t="n">
        <x:v>51.4388</x:v>
      </x:c>
      <x:c r="M423" s="11" t="n">
        <x:v>42.1898</x:v>
      </x:c>
      <x:c r="N423" s="1" t="str">
        <x:v>6898be28591c4e1abe73f83f56b307e4</x:v>
      </x:c>
      <x:c r="O423" s="1" t="str">
        <x:v>Admin Office - 1</x:v>
      </x:c>
      <x:c r="P423" s="1" t="n">
        <x:v>2</x:v>
      </x:c>
      <x:c r="Q423" s="1" t="str">
        <x:v>high_security_mode_logs</x:v>
      </x:c>
      <x:c r="R423" s="1" t="n">
        <x:v>43</x:v>
      </x:c>
      <x:c r="S423" s="1" t="str">
        <x:v>Successful entry</x:v>
      </x:c>
      <x:c r="T423" s="1" t="n">
        <x:v>1</x:v>
      </x:c>
      <x:c r="U423" s="5" t="str"/>
      <x:c r="V423" s="1" t="n">
        <x:v>1</x:v>
      </x:c>
      <x:c r="W423" s="1" t="n">
        <x:v>1</x:v>
      </x:c>
      <x:c r="X423" s="1" t="str">
        <x:v>GRANTED</x:v>
      </x:c>
      <x:c r="Y423" s="1" t="n">
        <x:f>IF(V423=1,IF(E423="GRANTED",IF(X423="GRANTED",1,0),IF(X423="DENIED",1,0)),0)</x:f>
        <x:v>1</x:v>
      </x:c>
    </x:row>
    <x:row r="424" ht="23" customHeight="1">
      <x:c r="A424" s="9" t="n">
        <x:v>46247.45011612268</x:v>
      </x:c>
      <x:c r="B424" s="1" t="str">
        <x:v>Juan Tamad</x:v>
      </x:c>
      <x:c r="C424" s="1" t="str">
        <x:v>Entry</x:v>
      </x:c>
      <x:c r="D424" s="1" t="str">
        <x:v>HighSecurity</x:v>
      </x:c>
      <x:c r="E424" s="1" t="str">
        <x:v>GRANTED</x:v>
      </x:c>
      <x:c r="F424" s="11" t="n">
        <x:v>12.0754</x:v>
      </x:c>
      <x:c r="G424" s="11" t="n">
        <x:v>2420.254</x:v>
      </x:c>
      <x:c r="H424" s="11" t="n">
        <x:v>42.2801</x:v>
      </x:c>
      <x:c r="I424" s="11" t="n">
        <x:v>1231.9285</x:v>
      </x:c>
      <x:c r="J424" s="11" t="n">
        <x:v>2.4278</x:v>
      </x:c>
      <x:c r="K424" s="11" t="n">
        <x:v>3652.1825</x:v>
      </x:c>
      <x:c r="L424" s="11" t="n">
        <x:v>56.7833</x:v>
      </x:c>
      <x:c r="M424" s="11" t="n">
        <x:v>46.1683</x:v>
      </x:c>
      <x:c r="N424" s="1" t="str">
        <x:v>6898be28591c4e1abe73f83f56b307e4</x:v>
      </x:c>
      <x:c r="O424" s="1" t="str">
        <x:v>Admin Office - 1</x:v>
      </x:c>
      <x:c r="P424" s="1" t="n">
        <x:v>2</x:v>
      </x:c>
      <x:c r="Q424" s="1" t="str">
        <x:v>high_security_mode_logs</x:v>
      </x:c>
      <x:c r="R424" s="1" t="n">
        <x:v>44</x:v>
      </x:c>
      <x:c r="S424" s="1" t="str">
        <x:v>Successful entry</x:v>
      </x:c>
      <x:c r="T424" s="1" t="n">
        <x:v>1</x:v>
      </x:c>
      <x:c r="U424" s="5" t="str"/>
      <x:c r="V424" s="1" t="n">
        <x:v>1</x:v>
      </x:c>
      <x:c r="W424" s="1" t="n">
        <x:v>1</x:v>
      </x:c>
      <x:c r="X424" s="1" t="str">
        <x:v>GRANTED</x:v>
      </x:c>
      <x:c r="Y424" s="1" t="n">
        <x:f>IF(V424=1,IF(E424="GRANTED",IF(X424="GRANTED",1,0),IF(X424="DENIED",1,0)),0)</x:f>
        <x:v>1</x:v>
      </x:c>
    </x:row>
    <x:row r="425" ht="23" customHeight="1">
      <x:c r="A425" s="9" t="n">
        <x:v>46247.45000486111</x:v>
      </x:c>
      <x:c r="B425" s="1" t="str">
        <x:v>Luningning Santos</x:v>
      </x:c>
      <x:c r="C425" s="1" t="str">
        <x:v>Entry</x:v>
      </x:c>
      <x:c r="D425" s="1" t="str">
        <x:v>HighSecurity</x:v>
      </x:c>
      <x:c r="E425" s="1" t="str">
        <x:v>GRANTED</x:v>
      </x:c>
      <x:c r="F425" s="11" t="n">
        <x:v>11.6483</x:v>
      </x:c>
      <x:c r="G425" s="11" t="n">
        <x:v>1815.9069</x:v>
      </x:c>
      <x:c r="H425" s="11" t="n">
        <x:v>37.3894</x:v>
      </x:c>
      <x:c r="I425" s="11" t="n">
        <x:v>2948.1476</x:v>
      </x:c>
      <x:c r="J425" s="11" t="n">
        <x:v>3.2787</x:v>
      </x:c>
      <x:c r="K425" s="11" t="n">
        <x:v>4764.0545</x:v>
      </x:c>
      <x:c r="L425" s="11" t="n">
        <x:v>52.3164</x:v>
      </x:c>
      <x:c r="M425" s="11" t="n">
        <x:v>43.0768</x:v>
      </x:c>
      <x:c r="N425" s="1" t="str">
        <x:v>6898be28591c4e1abe73f83f56b307e4</x:v>
      </x:c>
      <x:c r="O425" s="1" t="str">
        <x:v>Admin Office - 1</x:v>
      </x:c>
      <x:c r="P425" s="1" t="n">
        <x:v>2</x:v>
      </x:c>
      <x:c r="Q425" s="1" t="str">
        <x:v>high_security_mode_logs</x:v>
      </x:c>
      <x:c r="R425" s="1" t="n">
        <x:v>45</x:v>
      </x:c>
      <x:c r="S425" s="1" t="str">
        <x:v>Successful entry</x:v>
      </x:c>
      <x:c r="T425" s="1" t="n">
        <x:v>1</x:v>
      </x:c>
      <x:c r="U425" s="5" t="str"/>
      <x:c r="V425" s="1" t="n">
        <x:v>1</x:v>
      </x:c>
      <x:c r="W425" s="1" t="n">
        <x:v>1</x:v>
      </x:c>
      <x:c r="X425" s="1" t="str">
        <x:v>GRANTED</x:v>
      </x:c>
      <x:c r="Y425" s="1" t="n">
        <x:f>IF(V425=1,IF(E425="GRANTED",IF(X425="GRANTED",1,0),IF(X425="DENIED",1,0)),0)</x:f>
        <x:v>1</x:v>
      </x:c>
    </x:row>
    <x:row r="426" ht="23" customHeight="1">
      <x:c r="A426" s="9" t="n">
        <x:v>46247.44987240741</x:v>
      </x:c>
      <x:c r="B426" s="1" t="str">
        <x:v>Teresita Gonzales</x:v>
      </x:c>
      <x:c r="C426" s="1" t="str">
        <x:v>Entry</x:v>
      </x:c>
      <x:c r="D426" s="1" t="str">
        <x:v>HighSecurity</x:v>
      </x:c>
      <x:c r="E426" s="1" t="str">
        <x:v>GRANTED</x:v>
      </x:c>
      <x:c r="F426" s="11" t="n">
        <x:v>10.9726</x:v>
      </x:c>
      <x:c r="G426" s="11" t="n">
        <x:v>1703.9303</x:v>
      </x:c>
      <x:c r="H426" s="11" t="n">
        <x:v>37.5356</x:v>
      </x:c>
      <x:c r="I426" s="11" t="n">
        <x:v>1993.3736</x:v>
      </x:c>
      <x:c r="J426" s="11" t="n">
        <x:v>2.7212</x:v>
      </x:c>
      <x:c r="K426" s="11" t="n">
        <x:v>3697.3039</x:v>
      </x:c>
      <x:c r="L426" s="11" t="n">
        <x:v>51.2294</x:v>
      </x:c>
      <x:c r="M426" s="11" t="n">
        <x:v>42.475</x:v>
      </x:c>
      <x:c r="N426" s="1" t="str">
        <x:v>6898be28591c4e1abe73f83f56b307e4</x:v>
      </x:c>
      <x:c r="O426" s="1" t="str">
        <x:v>Admin Office - 1</x:v>
      </x:c>
      <x:c r="P426" s="1" t="n">
        <x:v>2</x:v>
      </x:c>
      <x:c r="Q426" s="1" t="str">
        <x:v>high_security_mode_logs</x:v>
      </x:c>
      <x:c r="R426" s="1" t="n">
        <x:v>46</x:v>
      </x:c>
      <x:c r="S426" s="1" t="str">
        <x:v>Successful entry</x:v>
      </x:c>
      <x:c r="T426" s="1" t="n">
        <x:v>1</x:v>
      </x:c>
      <x:c r="U426" s="5" t="str"/>
      <x:c r="V426" s="1" t="n">
        <x:v>1</x:v>
      </x:c>
      <x:c r="W426" s="1" t="n">
        <x:v>1</x:v>
      </x:c>
      <x:c r="X426" s="1" t="str">
        <x:v>GRANTED</x:v>
      </x:c>
      <x:c r="Y426" s="1" t="n">
        <x:f>IF(V426=1,IF(E426="GRANTED",IF(X426="GRANTED",1,0),IF(X426="DENIED",1,0)),0)</x:f>
        <x:v>1</x:v>
      </x:c>
    </x:row>
    <x:row r="427" ht="23" customHeight="1">
      <x:c r="A427" s="9" t="n">
        <x:v>46247.449767812504</x:v>
      </x:c>
      <x:c r="B427" s="1" t="str">
        <x:v>Ana Delos Reyes</x:v>
      </x:c>
      <x:c r="C427" s="1" t="str">
        <x:v>Entry</x:v>
      </x:c>
      <x:c r="D427" s="1" t="str">
        <x:v>HighSecurity</x:v>
      </x:c>
      <x:c r="E427" s="1" t="str">
        <x:v>GRANTED</x:v>
      </x:c>
      <x:c r="F427" s="11" t="n">
        <x:v>11.2761</x:v>
      </x:c>
      <x:c r="G427" s="11" t="n">
        <x:v>3079.9572</x:v>
      </x:c>
      <x:c r="H427" s="11" t="n">
        <x:v>37.0307</x:v>
      </x:c>
      <x:c r="I427" s="11" t="n">
        <x:v>14391.0051</x:v>
      </x:c>
      <x:c r="J427" s="11" t="n">
        <x:v>2.7528</x:v>
      </x:c>
      <x:c r="K427" s="11" t="n">
        <x:v>17470.9623</x:v>
      </x:c>
      <x:c r="L427" s="11" t="n">
        <x:v>51.0596</x:v>
      </x:c>
      <x:c r="M427" s="11" t="n">
        <x:v>41.6835</x:v>
      </x:c>
      <x:c r="N427" s="1" t="str">
        <x:v>6898be28591c4e1abe73f83f56b307e4</x:v>
      </x:c>
      <x:c r="O427" s="1" t="str">
        <x:v>Admin Office - 1</x:v>
      </x:c>
      <x:c r="P427" s="1" t="n">
        <x:v>2</x:v>
      </x:c>
      <x:c r="Q427" s="1" t="str">
        <x:v>high_security_mode_logs</x:v>
      </x:c>
      <x:c r="R427" s="1" t="n">
        <x:v>47</x:v>
      </x:c>
      <x:c r="S427" s="1" t="str">
        <x:v>Successful entry</x:v>
      </x:c>
      <x:c r="T427" s="1" t="n">
        <x:v>1</x:v>
      </x:c>
      <x:c r="U427" s="5" t="str"/>
      <x:c r="V427" s="1" t="n">
        <x:v>1</x:v>
      </x:c>
      <x:c r="W427" s="1" t="n">
        <x:v>1</x:v>
      </x:c>
      <x:c r="X427" s="1" t="str">
        <x:v>GRANTED</x:v>
      </x:c>
      <x:c r="Y427" s="1" t="n">
        <x:f>IF(V427=1,IF(E427="GRANTED",IF(X427="GRANTED",1,0),IF(X427="DENIED",1,0)),0)</x:f>
        <x:v>1</x:v>
      </x:c>
    </x:row>
    <x:row r="428" ht="23" customHeight="1">
      <x:c r="A428" s="9" t="n">
        <x:v>46247.44949962963</x:v>
      </x:c>
      <x:c r="B428" s="1" t="str">
        <x:v>Maria Santos</x:v>
      </x:c>
      <x:c r="C428" s="1" t="str">
        <x:v>Entry</x:v>
      </x:c>
      <x:c r="D428" s="1" t="str">
        <x:v>HighSecurity</x:v>
      </x:c>
      <x:c r="E428" s="1" t="str">
        <x:v>GRANTED</x:v>
      </x:c>
      <x:c r="F428" s="11" t="n">
        <x:v>11.4033</x:v>
      </x:c>
      <x:c r="G428" s="11" t="n">
        <x:v>2254.7799</x:v>
      </x:c>
      <x:c r="H428" s="11" t="n">
        <x:v>38.3889</x:v>
      </x:c>
      <x:c r="I428" s="11" t="n">
        <x:v>10511.7117</x:v>
      </x:c>
      <x:c r="J428" s="11" t="n">
        <x:v>2.377</x:v>
      </x:c>
      <x:c r="K428" s="11" t="n">
        <x:v>12766.4916</x:v>
      </x:c>
      <x:c r="L428" s="11" t="n">
        <x:v>52.1692</x:v>
      </x:c>
      <x:c r="M428" s="11" t="n">
        <x:v>42.5505</x:v>
      </x:c>
      <x:c r="N428" s="1" t="str">
        <x:v>6898be28591c4e1abe73f83f56b307e4</x:v>
      </x:c>
      <x:c r="O428" s="1" t="str">
        <x:v>Admin Office - 1</x:v>
      </x:c>
      <x:c r="P428" s="1" t="n">
        <x:v>2</x:v>
      </x:c>
      <x:c r="Q428" s="1" t="str">
        <x:v>high_security_mode_logs</x:v>
      </x:c>
      <x:c r="R428" s="1" t="n">
        <x:v>48</x:v>
      </x:c>
      <x:c r="S428" s="1" t="str">
        <x:v>Successful entry</x:v>
      </x:c>
      <x:c r="T428" s="1" t="n">
        <x:v>1</x:v>
      </x:c>
      <x:c r="U428" s="5" t="str"/>
      <x:c r="V428" s="1" t="n">
        <x:v>1</x:v>
      </x:c>
      <x:c r="W428" s="1" t="n">
        <x:v>1</x:v>
      </x:c>
      <x:c r="X428" s="1" t="str">
        <x:v>GRANTED</x:v>
      </x:c>
      <x:c r="Y428" s="1" t="n">
        <x:f>IF(V428=1,IF(E428="GRANTED",IF(X428="GRANTED",1,0),IF(X428="DENIED",1,0)),0)</x:f>
        <x:v>1</x:v>
      </x:c>
    </x:row>
    <x:row r="429" ht="23" customHeight="1">
      <x:c r="A429" s="9" t="n">
        <x:v>46247.449290185185</x:v>
      </x:c>
      <x:c r="B429" s="1" t="str">
        <x:v>Maria Clara</x:v>
      </x:c>
      <x:c r="C429" s="1" t="str">
        <x:v>Entry</x:v>
      </x:c>
      <x:c r="D429" s="1" t="str">
        <x:v>HighSecurity</x:v>
      </x:c>
      <x:c r="E429" s="1" t="str">
        <x:v>GRANTED</x:v>
      </x:c>
      <x:c r="F429" s="11" t="n">
        <x:v>11.4186</x:v>
      </x:c>
      <x:c r="G429" s="11" t="n">
        <x:v>1760.0764</x:v>
      </x:c>
      <x:c r="H429" s="11" t="n">
        <x:v>39.4648</x:v>
      </x:c>
      <x:c r="I429" s="11" t="n">
        <x:v>20844.1293</x:v>
      </x:c>
      <x:c r="J429" s="11" t="n">
        <x:v>2.865</x:v>
      </x:c>
      <x:c r="K429" s="11" t="n">
        <x:v>22604.2057</x:v>
      </x:c>
      <x:c r="L429" s="11" t="n">
        <x:v>53.7484</x:v>
      </x:c>
      <x:c r="M429" s="11" t="n">
        <x:v>45.5203</x:v>
      </x:c>
      <x:c r="N429" s="1" t="str">
        <x:v>6898be28591c4e1abe73f83f56b307e4</x:v>
      </x:c>
      <x:c r="O429" s="1" t="str">
        <x:v>Admin Office - 1</x:v>
      </x:c>
      <x:c r="P429" s="1" t="n">
        <x:v>2</x:v>
      </x:c>
      <x:c r="Q429" s="1" t="str">
        <x:v>high_security_mode_logs</x:v>
      </x:c>
      <x:c r="R429" s="1" t="n">
        <x:v>49</x:v>
      </x:c>
      <x:c r="S429" s="1" t="str">
        <x:v>Successful entry</x:v>
      </x:c>
      <x:c r="T429" s="1" t="n">
        <x:v>1</x:v>
      </x:c>
      <x:c r="U429" s="5" t="str"/>
      <x:c r="V429" s="1" t="n">
        <x:v>1</x:v>
      </x:c>
      <x:c r="W429" s="1" t="n">
        <x:v>1</x:v>
      </x:c>
      <x:c r="X429" s="1" t="str">
        <x:v>GRANTED</x:v>
      </x:c>
      <x:c r="Y429" s="1" t="n">
        <x:f>IF(V429=1,IF(E429="GRANTED",IF(X429="GRANTED",1,0),IF(X429="DENIED",1,0)),0)</x:f>
        <x:v>1</x:v>
      </x:c>
    </x:row>
    <x:row r="430" ht="23" customHeight="1">
      <x:c r="A430" s="9" t="n">
        <x:v>46247.44896961805</x:v>
      </x:c>
      <x:c r="B430" s="1" t="str">
        <x:v>Juana Dela Cruz</x:v>
      </x:c>
      <x:c r="C430" s="1" t="str">
        <x:v>Entry</x:v>
      </x:c>
      <x:c r="D430" s="1" t="str">
        <x:v>HighSecurity</x:v>
      </x:c>
      <x:c r="E430" s="1" t="str">
        <x:v>GRANTED</x:v>
      </x:c>
      <x:c r="F430" s="11" t="n">
        <x:v>12.0462</x:v>
      </x:c>
      <x:c r="G430" s="11" t="n">
        <x:v>1650.327</x:v>
      </x:c>
      <x:c r="H430" s="11" t="n">
        <x:v>39.8552</x:v>
      </x:c>
      <x:c r="I430" s="11" t="n">
        <x:v>12761.3243</x:v>
      </x:c>
      <x:c r="J430" s="11" t="n">
        <x:v>2.8229</x:v>
      </x:c>
      <x:c r="K430" s="11" t="n">
        <x:v>14411.6513</x:v>
      </x:c>
      <x:c r="L430" s="11" t="n">
        <x:v>54.7243</x:v>
      </x:c>
      <x:c r="M430" s="11" t="n">
        <x:v>44.0229</x:v>
      </x:c>
      <x:c r="N430" s="1" t="str">
        <x:v>6898be28591c4e1abe73f83f56b307e4</x:v>
      </x:c>
      <x:c r="O430" s="1" t="str">
        <x:v>Admin Office - 1</x:v>
      </x:c>
      <x:c r="P430" s="1" t="n">
        <x:v>2</x:v>
      </x:c>
      <x:c r="Q430" s="1" t="str">
        <x:v>high_security_mode_logs</x:v>
      </x:c>
      <x:c r="R430" s="1" t="n">
        <x:v>50</x:v>
      </x:c>
      <x:c r="S430" s="1" t="str">
        <x:v>Successful entry</x:v>
      </x:c>
      <x:c r="T430" s="1" t="n">
        <x:v>1</x:v>
      </x:c>
      <x:c r="U430" s="5" t="str"/>
      <x:c r="V430" s="1" t="n">
        <x:v>1</x:v>
      </x:c>
      <x:c r="W430" s="1" t="n">
        <x:v>1</x:v>
      </x:c>
      <x:c r="X430" s="1" t="str">
        <x:v>GRANTED</x:v>
      </x:c>
      <x:c r="Y430" s="1" t="n">
        <x:f>IF(V430=1,IF(E430="GRANTED",IF(X430="GRANTED",1,0),IF(X430="DENIED",1,0)),0)</x:f>
        <x:v>1</x:v>
      </x:c>
    </x:row>
    <x:row r="431" ht="23" customHeight="1">
      <x:c r="A431" s="9" t="n">
        <x:v>46247.44874922454</x:v>
      </x:c>
      <x:c r="B431" s="1" t="str">
        <x:v>Maria Dela Cruz</x:v>
      </x:c>
      <x:c r="C431" s="1" t="str">
        <x:v>Entry</x:v>
      </x:c>
      <x:c r="D431" s="1" t="str">
        <x:v>HighSecurity</x:v>
      </x:c>
      <x:c r="E431" s="1" t="str">
        <x:v>GRANTED</x:v>
      </x:c>
      <x:c r="F431" s="11" t="n">
        <x:v>9.846</x:v>
      </x:c>
      <x:c r="G431" s="11" t="n">
        <x:v>1814.7834</x:v>
      </x:c>
      <x:c r="H431" s="11" t="n">
        <x:v>39.2239</x:v>
      </x:c>
      <x:c r="I431" s="11" t="n">
        <x:v>12473.2337</x:v>
      </x:c>
      <x:c r="J431" s="11" t="n">
        <x:v>2.4198</x:v>
      </x:c>
      <x:c r="K431" s="11" t="n">
        <x:v>14288.0171</x:v>
      </x:c>
      <x:c r="L431" s="11" t="n">
        <x:v>51.4897</x:v>
      </x:c>
      <x:c r="M431" s="11" t="n">
        <x:v>42.9172</x:v>
      </x:c>
      <x:c r="N431" s="1" t="str">
        <x:v>6898be28591c4e1abe73f83f56b307e4</x:v>
      </x:c>
      <x:c r="O431" s="1" t="str">
        <x:v>Admin Office - 1</x:v>
      </x:c>
      <x:c r="P431" s="1" t="n">
        <x:v>2</x:v>
      </x:c>
      <x:c r="Q431" s="1" t="str">
        <x:v>high_security_mode_logs</x:v>
      </x:c>
      <x:c r="R431" s="1" t="n">
        <x:v>51</x:v>
      </x:c>
      <x:c r="S431" s="1" t="str">
        <x:v>Successful entry</x:v>
      </x:c>
      <x:c r="T431" s="1" t="n">
        <x:v>1</x:v>
      </x:c>
      <x:c r="U431" s="5" t="str"/>
      <x:c r="V431" s="1" t="n">
        <x:v>1</x:v>
      </x:c>
      <x:c r="W431" s="1" t="n">
        <x:v>1</x:v>
      </x:c>
      <x:c r="X431" s="1" t="str">
        <x:v>GRANTED</x:v>
      </x:c>
      <x:c r="Y431" s="1" t="n">
        <x:f>IF(V431=1,IF(E431="GRANTED",IF(X431="GRANTED",1,0),IF(X431="DENIED",1,0)),0)</x:f>
        <x:v>1</x:v>
      </x:c>
    </x:row>
    <x:row r="432" ht="23" customHeight="1">
      <x:c r="A432" s="9" t="n">
        <x:v>46247.448527534725</x:v>
      </x:c>
      <x:c r="B432" s="1" t="str">
        <x:v>Basilio Magbanua</x:v>
      </x:c>
      <x:c r="C432" s="1" t="str">
        <x:v>Entry</x:v>
      </x:c>
      <x:c r="D432" s="1" t="str">
        <x:v>HighSecurity</x:v>
      </x:c>
      <x:c r="E432" s="1" t="str">
        <x:v>GRANTED</x:v>
      </x:c>
      <x:c r="F432" s="11" t="n">
        <x:v>10.7886</x:v>
      </x:c>
      <x:c r="G432" s="11" t="n">
        <x:v>2584.7173</x:v>
      </x:c>
      <x:c r="H432" s="11" t="n">
        <x:v>37.5854</x:v>
      </x:c>
      <x:c r="I432" s="11" t="n">
        <x:v>10282.5831</x:v>
      </x:c>
      <x:c r="J432" s="11" t="n">
        <x:v>2.6128</x:v>
      </x:c>
      <x:c r="K432" s="11" t="n">
        <x:v>12867.3004</x:v>
      </x:c>
      <x:c r="L432" s="11" t="n">
        <x:v>50.9868</x:v>
      </x:c>
      <x:c r="M432" s="11" t="n">
        <x:v>41.8502</x:v>
      </x:c>
      <x:c r="N432" s="1" t="str">
        <x:v>6898be28591c4e1abe73f83f56b307e4</x:v>
      </x:c>
      <x:c r="O432" s="1" t="str">
        <x:v>Admin Office - 1</x:v>
      </x:c>
      <x:c r="P432" s="1" t="n">
        <x:v>2</x:v>
      </x:c>
      <x:c r="Q432" s="1" t="str">
        <x:v>high_security_mode_logs</x:v>
      </x:c>
      <x:c r="R432" s="1" t="n">
        <x:v>52</x:v>
      </x:c>
      <x:c r="S432" s="1" t="str">
        <x:v>Successful entry</x:v>
      </x:c>
      <x:c r="T432" s="1" t="n">
        <x:v>1</x:v>
      </x:c>
      <x:c r="U432" s="5" t="str"/>
      <x:c r="V432" s="1" t="n">
        <x:v>1</x:v>
      </x:c>
      <x:c r="W432" s="1" t="n">
        <x:v>1</x:v>
      </x:c>
      <x:c r="X432" s="1" t="str">
        <x:v>GRANTED</x:v>
      </x:c>
      <x:c r="Y432" s="1" t="n">
        <x:f>IF(V432=1,IF(E432="GRANTED",IF(X432="GRANTED",1,0),IF(X432="DENIED",1,0)),0)</x:f>
        <x:v>1</x:v>
      </x:c>
    </x:row>
    <x:row r="433" ht="23" customHeight="1">
      <x:c r="A433" s="9" t="n">
        <x:v>46247.44831221065</x:v>
      </x:c>
      <x:c r="B433" s="1" t="str">
        <x:v>Bayani Dela Rosa</x:v>
      </x:c>
      <x:c r="C433" s="1" t="str">
        <x:v>Entry</x:v>
      </x:c>
      <x:c r="D433" s="1" t="str">
        <x:v>HighSecurity</x:v>
      </x:c>
      <x:c r="E433" s="1" t="str">
        <x:v>GRANTED</x:v>
      </x:c>
      <x:c r="F433" s="11" t="n">
        <x:v>12.1911</x:v>
      </x:c>
      <x:c r="G433" s="11" t="n">
        <x:v>1704.5883</x:v>
      </x:c>
      <x:c r="H433" s="11" t="n">
        <x:v>39.6065</x:v>
      </x:c>
      <x:c r="I433" s="11" t="n">
        <x:v>1620.7399</x:v>
      </x:c>
      <x:c r="J433" s="11" t="n">
        <x:v>2.6251</x:v>
      </x:c>
      <x:c r="K433" s="11" t="n">
        <x:v>3325.3282</x:v>
      </x:c>
      <x:c r="L433" s="11" t="n">
        <x:v>54.4227</x:v>
      </x:c>
      <x:c r="M433" s="11" t="n">
        <x:v>43.9415</x:v>
      </x:c>
      <x:c r="N433" s="1" t="str">
        <x:v>6898be28591c4e1abe73f83f56b307e4</x:v>
      </x:c>
      <x:c r="O433" s="1" t="str">
        <x:v>Admin Office - 1</x:v>
      </x:c>
      <x:c r="P433" s="1" t="n">
        <x:v>2</x:v>
      </x:c>
      <x:c r="Q433" s="1" t="str">
        <x:v>high_security_mode_logs</x:v>
      </x:c>
      <x:c r="R433" s="1" t="n">
        <x:v>53</x:v>
      </x:c>
      <x:c r="S433" s="1" t="str">
        <x:v>Successful entry</x:v>
      </x:c>
      <x:c r="T433" s="1" t="n">
        <x:v>1</x:v>
      </x:c>
      <x:c r="U433" s="5" t="str"/>
      <x:c r="V433" s="1" t="n">
        <x:v>1</x:v>
      </x:c>
      <x:c r="W433" s="1" t="n">
        <x:v>1</x:v>
      </x:c>
      <x:c r="X433" s="1" t="str">
        <x:v>GRANTED</x:v>
      </x:c>
      <x:c r="Y433" s="1" t="n">
        <x:f>IF(V433=1,IF(E433="GRANTED",IF(X433="GRANTED",1,0),IF(X433="DENIED",1,0)),0)</x:f>
        <x:v>1</x:v>
      </x:c>
    </x:row>
    <x:row r="434" ht="23" customHeight="1">
      <x:c r="A434" s="9" t="n">
        <x:v>46247.44821074074</x:v>
      </x:c>
      <x:c r="B434" s="1" t="str">
        <x:v>Jose Mari Bautista</x:v>
      </x:c>
      <x:c r="C434" s="1" t="str">
        <x:v>Entry</x:v>
      </x:c>
      <x:c r="D434" s="1" t="str">
        <x:v>HighSecurity</x:v>
      </x:c>
      <x:c r="E434" s="1" t="str">
        <x:v>GRANTED</x:v>
      </x:c>
      <x:c r="F434" s="11" t="n">
        <x:v>11.0065</x:v>
      </x:c>
      <x:c r="G434" s="11" t="n">
        <x:v>2639.5997</x:v>
      </x:c>
      <x:c r="H434" s="11" t="n">
        <x:v>37.383</x:v>
      </x:c>
      <x:c r="I434" s="11" t="n">
        <x:v>4989.0978</x:v>
      </x:c>
      <x:c r="J434" s="11" t="n">
        <x:v>2.979</x:v>
      </x:c>
      <x:c r="K434" s="11" t="n">
        <x:v>7628.6975</x:v>
      </x:c>
      <x:c r="L434" s="11" t="n">
        <x:v>51.3685</x:v>
      </x:c>
      <x:c r="M434" s="11" t="n">
        <x:v>41.5564</x:v>
      </x:c>
      <x:c r="N434" s="1" t="str">
        <x:v>6898be28591c4e1abe73f83f56b307e4</x:v>
      </x:c>
      <x:c r="O434" s="1" t="str">
        <x:v>Admin Office - 1</x:v>
      </x:c>
      <x:c r="P434" s="1" t="n">
        <x:v>2</x:v>
      </x:c>
      <x:c r="Q434" s="1" t="str">
        <x:v>high_security_mode_logs</x:v>
      </x:c>
      <x:c r="R434" s="1" t="n">
        <x:v>54</x:v>
      </x:c>
      <x:c r="S434" s="1" t="str">
        <x:v>Successful entry</x:v>
      </x:c>
      <x:c r="T434" s="1" t="n">
        <x:v>1</x:v>
      </x:c>
      <x:c r="U434" s="5" t="str"/>
      <x:c r="V434" s="1" t="n">
        <x:v>1</x:v>
      </x:c>
      <x:c r="W434" s="1" t="n">
        <x:v>1</x:v>
      </x:c>
      <x:c r="X434" s="1" t="str">
        <x:v>GRANTED</x:v>
      </x:c>
      <x:c r="Y434" s="1" t="n">
        <x:f>IF(V434=1,IF(E434="GRANTED",IF(X434="GRANTED",1,0),IF(X434="DENIED",1,0)),0)</x:f>
        <x:v>1</x:v>
      </x:c>
    </x:row>
    <x:row r="435" ht="23" customHeight="1">
      <x:c r="A435" s="9" t="n">
        <x:v>46247.44805832176</x:v>
      </x:c>
      <x:c r="B435" s="1" t="str">
        <x:v>Angelito Fernandez</x:v>
      </x:c>
      <x:c r="C435" s="1" t="str">
        <x:v>Entry</x:v>
      </x:c>
      <x:c r="D435" s="1" t="str">
        <x:v>HighSecurity</x:v>
      </x:c>
      <x:c r="E435" s="1" t="str">
        <x:v>GRANTED</x:v>
      </x:c>
      <x:c r="F435" s="11" t="n">
        <x:v>10.5961</x:v>
      </x:c>
      <x:c r="G435" s="11" t="n">
        <x:v>1594.68</x:v>
      </x:c>
      <x:c r="H435" s="11" t="n">
        <x:v>37.5237</x:v>
      </x:c>
      <x:c r="I435" s="11" t="n">
        <x:v>2662.237</x:v>
      </x:c>
      <x:c r="J435" s="11" t="n">
        <x:v>2.9141</x:v>
      </x:c>
      <x:c r="K435" s="11" t="n">
        <x:v>4256.917</x:v>
      </x:c>
      <x:c r="L435" s="11" t="n">
        <x:v>51.0339</x:v>
      </x:c>
      <x:c r="M435" s="11" t="n">
        <x:v>42.1075</x:v>
      </x:c>
      <x:c r="N435" s="1" t="str">
        <x:v>6898be28591c4e1abe73f83f56b307e4</x:v>
      </x:c>
      <x:c r="O435" s="1" t="str">
        <x:v>Admin Office - 1</x:v>
      </x:c>
      <x:c r="P435" s="1" t="n">
        <x:v>2</x:v>
      </x:c>
      <x:c r="Q435" s="1" t="str">
        <x:v>high_security_mode_logs</x:v>
      </x:c>
      <x:c r="R435" s="1" t="n">
        <x:v>55</x:v>
      </x:c>
      <x:c r="S435" s="1" t="str">
        <x:v>Successful entry</x:v>
      </x:c>
      <x:c r="T435" s="1" t="n">
        <x:v>1</x:v>
      </x:c>
      <x:c r="U435" s="5" t="str"/>
      <x:c r="V435" s="1" t="n">
        <x:v>1</x:v>
      </x:c>
      <x:c r="W435" s="1" t="n">
        <x:v>1</x:v>
      </x:c>
      <x:c r="X435" s="1" t="str">
        <x:v>GRANTED</x:v>
      </x:c>
      <x:c r="Y435" s="1" t="n">
        <x:f>IF(V435=1,IF(E435="GRANTED",IF(X435="GRANTED",1,0),IF(X435="DENIED",1,0)),0)</x:f>
        <x:v>1</x:v>
      </x:c>
    </x:row>
    <x:row r="436" ht="23" customHeight="1">
      <x:c r="A436" s="9" t="n">
        <x:v>46247.44794607639</x:v>
      </x:c>
      <x:c r="B436" s="1" t="str">
        <x:v>Roberto Ramos</x:v>
      </x:c>
      <x:c r="C436" s="1" t="str">
        <x:v>Entry</x:v>
      </x:c>
      <x:c r="D436" s="1" t="str">
        <x:v>HighSecurity</x:v>
      </x:c>
      <x:c r="E436" s="1" t="str">
        <x:v>GRANTED</x:v>
      </x:c>
      <x:c r="F436" s="11" t="n">
        <x:v>11.5648</x:v>
      </x:c>
      <x:c r="G436" s="11" t="n">
        <x:v>1979.7175</x:v>
      </x:c>
      <x:c r="H436" s="11" t="n">
        <x:v>66.1493</x:v>
      </x:c>
      <x:c r="I436" s="11" t="n">
        <x:v>11544.894</x:v>
      </x:c>
      <x:c r="J436" s="11" t="n">
        <x:v>2.3235</x:v>
      </x:c>
      <x:c r="K436" s="11" t="n">
        <x:v>13524.6115</x:v>
      </x:c>
      <x:c r="L436" s="11" t="n">
        <x:v>80.0376</x:v>
      </x:c>
      <x:c r="M436" s="11" t="n">
        <x:v>70.0665</x:v>
      </x:c>
      <x:c r="N436" s="1" t="str">
        <x:v>6898be28591c4e1abe73f83f56b307e4</x:v>
      </x:c>
      <x:c r="O436" s="1" t="str">
        <x:v>Admin Office - 1</x:v>
      </x:c>
      <x:c r="P436" s="1" t="n">
        <x:v>2</x:v>
      </x:c>
      <x:c r="Q436" s="1" t="str">
        <x:v>high_security_mode_logs</x:v>
      </x:c>
      <x:c r="R436" s="1" t="n">
        <x:v>56</x:v>
      </x:c>
      <x:c r="S436" s="1" t="str">
        <x:v>Successful entry</x:v>
      </x:c>
      <x:c r="T436" s="1" t="n">
        <x:v>1</x:v>
      </x:c>
      <x:c r="U436" s="5" t="str"/>
      <x:c r="V436" s="1" t="n">
        <x:v>1</x:v>
      </x:c>
      <x:c r="W436" s="1" t="n">
        <x:v>1</x:v>
      </x:c>
      <x:c r="X436" s="1" t="str">
        <x:v>GRANTED</x:v>
      </x:c>
      <x:c r="Y436" s="1" t="n">
        <x:f>IF(V436=1,IF(E436="GRANTED",IF(X436="GRANTED",1,0),IF(X436="DENIED",1,0)),0)</x:f>
        <x:v>1</x:v>
      </x:c>
    </x:row>
    <x:row r="437" ht="23" customHeight="1">
      <x:c r="A437" s="12" t="n">
        <x:v>46247.4477146412</x:v>
      </x:c>
      <x:c r="B437" s="13" t="str">
        <x:v>Juanito Delos Santos</x:v>
      </x:c>
      <x:c r="C437" s="13" t="str">
        <x:v>Entry</x:v>
      </x:c>
      <x:c r="D437" s="13" t="str">
        <x:v>HighSecurity</x:v>
      </x:c>
      <x:c r="E437" s="13" t="str">
        <x:v>DENIED [ANTI_TAILGATING_VIOLATION]</x:v>
      </x:c>
      <x:c r="F437" s="14" t="n">
        <x:v>3.9034</x:v>
      </x:c>
      <x:c r="G437" s="14" t="str">
        <x:v>N/A (Bypassed)</x:v>
      </x:c>
      <x:c r="H437" s="14" t="str">
        <x:v>N/A (Bypassed)</x:v>
      </x:c>
      <x:c r="I437" s="14" t="str">
        <x:v>N/A (Bypassed)</x:v>
      </x:c>
      <x:c r="J437" s="14" t="str">
        <x:v>N/A (Bypassed)</x:v>
      </x:c>
      <x:c r="K437" s="14" t="str">
        <x:v>N/A</x:v>
      </x:c>
      <x:c r="L437" s="14" t="n">
        <x:v>3.9034</x:v>
      </x:c>
      <x:c r="M437" s="14" t="n">
        <x:v>3.3314</x:v>
      </x:c>
      <x:c r="N437" s="13" t="str">
        <x:v>6898be28591c4e1abe73f83f56b307e4</x:v>
      </x:c>
      <x:c r="O437" s="13" t="str">
        <x:v>Admin Office - 1</x:v>
      </x:c>
      <x:c r="P437" s="13" t="n">
        <x:v>2</x:v>
      </x:c>
      <x:c r="Q437" s="13" t="str">
        <x:v>high_security_mode_logs</x:v>
      </x:c>
      <x:c r="R437" s="13" t="n">
        <x:v>57</x:v>
      </x:c>
      <x:c r="S437" s="13" t="str">
        <x:v>Denied record</x:v>
      </x:c>
      <x:c r="T437" s="13"/>
      <x:c r="U437" s="15" t="str"/>
      <x:c r="V437" s="1" t="n">
        <x:v>0</x:v>
      </x:c>
      <x:c r="W437" s="1" t="n">
        <x:v>0</x:v>
      </x:c>
      <x:c r="X437" s="1" t="str">
        <x:v>Not applicable</x:v>
      </x:c>
      <x:c r="Y437" s="1" t="n">
        <x:f>IF(V437=1,IF(E437="GRANTED",IF(X437="GRANTED",1,0),IF(X437="DENIED",1,0)),0)</x:f>
        <x:v>0</x:v>
      </x:c>
    </x:row>
    <x:row r="438" ht="23" customHeight="1">
      <x:c r="A438" s="9" t="n">
        <x:v>46247.447620844905</x:v>
      </x:c>
      <x:c r="B438" s="1" t="str">
        <x:v>Juanito Delos Santos</x:v>
      </x:c>
      <x:c r="C438" s="1" t="str">
        <x:v>Entry</x:v>
      </x:c>
      <x:c r="D438" s="1" t="str">
        <x:v>HighSecurity</x:v>
      </x:c>
      <x:c r="E438" s="1" t="str">
        <x:v>GRANTED</x:v>
      </x:c>
      <x:c r="F438" s="11" t="n">
        <x:v>13.4761</x:v>
      </x:c>
      <x:c r="G438" s="11" t="n">
        <x:v>1595.2215</x:v>
      </x:c>
      <x:c r="H438" s="11" t="n">
        <x:v>37.705</x:v>
      </x:c>
      <x:c r="I438" s="11" t="n">
        <x:v>1444.5714</x:v>
      </x:c>
      <x:c r="J438" s="11" t="n">
        <x:v>2.2824</x:v>
      </x:c>
      <x:c r="K438" s="11" t="n">
        <x:v>3039.7929</x:v>
      </x:c>
      <x:c r="L438" s="11" t="n">
        <x:v>53.4635</x:v>
      </x:c>
      <x:c r="M438" s="11" t="n">
        <x:v>43.8268</x:v>
      </x:c>
      <x:c r="N438" s="1" t="str">
        <x:v>6898be28591c4e1abe73f83f56b307e4</x:v>
      </x:c>
      <x:c r="O438" s="1" t="str">
        <x:v>Admin Office - 1</x:v>
      </x:c>
      <x:c r="P438" s="1" t="n">
        <x:v>2</x:v>
      </x:c>
      <x:c r="Q438" s="1" t="str">
        <x:v>high_security_mode_logs</x:v>
      </x:c>
      <x:c r="R438" s="1" t="n">
        <x:v>58</x:v>
      </x:c>
      <x:c r="S438" s="1" t="str">
        <x:v>Successful entry</x:v>
      </x:c>
      <x:c r="T438" s="1" t="n">
        <x:v>1</x:v>
      </x:c>
      <x:c r="U438" s="5" t="str"/>
      <x:c r="V438" s="1" t="n">
        <x:v>1</x:v>
      </x:c>
      <x:c r="W438" s="1" t="n">
        <x:v>1</x:v>
      </x:c>
      <x:c r="X438" s="1" t="str">
        <x:v>GRANTED</x:v>
      </x:c>
      <x:c r="Y438" s="1" t="n">
        <x:f>IF(V438=1,IF(E438="GRANTED",IF(X438="GRANTED",1,0),IF(X438="DENIED",1,0)),0)</x:f>
        <x:v>1</x:v>
      </x:c>
    </x:row>
    <x:row r="439" ht="23" customHeight="1">
      <x:c r="A439" s="9" t="n">
        <x:v>46247.447513506944</x:v>
      </x:c>
      <x:c r="B439" s="1" t="str">
        <x:v>[TEMP] Manuel Mendoza</x:v>
      </x:c>
      <x:c r="C439" s="1" t="str">
        <x:v>Entry</x:v>
      </x:c>
      <x:c r="D439" s="1" t="str">
        <x:v>HighSecurity</x:v>
      </x:c>
      <x:c r="E439" s="1" t="str">
        <x:v>GRANTED</x:v>
      </x:c>
      <x:c r="F439" s="11" t="n">
        <x:v>11.9613</x:v>
      </x:c>
      <x:c r="G439" s="11" t="n">
        <x:v>1869.6269</x:v>
      </x:c>
      <x:c r="H439" s="11" t="n">
        <x:v>40.7621</x:v>
      </x:c>
      <x:c r="I439" s="11" t="n">
        <x:v>1861.9043</x:v>
      </x:c>
      <x:c r="J439" s="11" t="n">
        <x:v>3.0038</x:v>
      </x:c>
      <x:c r="K439" s="11" t="n">
        <x:v>3731.5312</x:v>
      </x:c>
      <x:c r="L439" s="11" t="n">
        <x:v>55.7272</x:v>
      </x:c>
      <x:c r="M439" s="11" t="n">
        <x:v>45.2857</x:v>
      </x:c>
      <x:c r="N439" s="1" t="str">
        <x:v>6898be28591c4e1abe73f83f56b307e4</x:v>
      </x:c>
      <x:c r="O439" s="1" t="str">
        <x:v>Admin Office - 1</x:v>
      </x:c>
      <x:c r="P439" s="1" t="n">
        <x:v>2</x:v>
      </x:c>
      <x:c r="Q439" s="1" t="str">
        <x:v>high_security_mode_logs</x:v>
      </x:c>
      <x:c r="R439" s="1" t="n">
        <x:v>59</x:v>
      </x:c>
      <x:c r="S439" s="1" t="str">
        <x:v>Successful entry</x:v>
      </x:c>
      <x:c r="T439" s="1" t="n">
        <x:v>1</x:v>
      </x:c>
      <x:c r="U439" s="5" t="str"/>
      <x:c r="V439" s="1" t="n">
        <x:v>1</x:v>
      </x:c>
      <x:c r="W439" s="1" t="n">
        <x:v>1</x:v>
      </x:c>
      <x:c r="X439" s="1" t="str">
        <x:v>GRANTED</x:v>
      </x:c>
      <x:c r="Y439" s="1" t="n">
        <x:f>IF(V439=1,IF(E439="GRANTED",IF(X439="GRANTED",1,0),IF(X439="DENIED",1,0)),0)</x:f>
        <x:v>1</x:v>
      </x:c>
    </x:row>
    <x:row r="440" ht="23" customHeight="1">
      <x:c r="A440" s="9" t="n">
        <x:v>46247.44740978009</x:v>
      </x:c>
      <x:c r="B440" s="1" t="str">
        <x:v>Francisco Garcia</x:v>
      </x:c>
      <x:c r="C440" s="1" t="str">
        <x:v>Entry</x:v>
      </x:c>
      <x:c r="D440" s="1" t="str">
        <x:v>HighSecurity</x:v>
      </x:c>
      <x:c r="E440" s="1" t="str">
        <x:v>GRANTED</x:v>
      </x:c>
      <x:c r="F440" s="11" t="n">
        <x:v>11.9085</x:v>
      </x:c>
      <x:c r="G440" s="11" t="n">
        <x:v>1759.781</x:v>
      </x:c>
      <x:c r="H440" s="11" t="n">
        <x:v>39.172</x:v>
      </x:c>
      <x:c r="I440" s="11" t="n">
        <x:v>1290.0781</x:v>
      </x:c>
      <x:c r="J440" s="11" t="n">
        <x:v>2.574</x:v>
      </x:c>
      <x:c r="K440" s="11" t="n">
        <x:v>3049.8591</x:v>
      </x:c>
      <x:c r="L440" s="11" t="n">
        <x:v>53.6545</x:v>
      </x:c>
      <x:c r="M440" s="11" t="n">
        <x:v>43.4498</x:v>
      </x:c>
      <x:c r="N440" s="1" t="str">
        <x:v>6898be28591c4e1abe73f83f56b307e4</x:v>
      </x:c>
      <x:c r="O440" s="1" t="str">
        <x:v>Admin Office - 1</x:v>
      </x:c>
      <x:c r="P440" s="1" t="n">
        <x:v>2</x:v>
      </x:c>
      <x:c r="Q440" s="1" t="str">
        <x:v>high_security_mode_logs</x:v>
      </x:c>
      <x:c r="R440" s="1" t="n">
        <x:v>60</x:v>
      </x:c>
      <x:c r="S440" s="1" t="str">
        <x:v>Successful entry</x:v>
      </x:c>
      <x:c r="T440" s="1" t="n">
        <x:v>1</x:v>
      </x:c>
      <x:c r="U440" s="5" t="str"/>
      <x:c r="V440" s="1" t="n">
        <x:v>1</x:v>
      </x:c>
      <x:c r="W440" s="1" t="n">
        <x:v>1</x:v>
      </x:c>
      <x:c r="X440" s="1" t="str">
        <x:v>GRANTED</x:v>
      </x:c>
      <x:c r="Y440" s="1" t="n">
        <x:f>IF(V440=1,IF(E440="GRANTED",IF(X440="GRANTED",1,0),IF(X440="DENIED",1,0)),0)</x:f>
        <x:v>1</x:v>
      </x:c>
    </x:row>
    <x:row r="441" ht="23" customHeight="1">
      <x:c r="A441" s="9" t="n">
        <x:v>46247.44731765046</x:v>
      </x:c>
      <x:c r="B441" s="1" t="str">
        <x:v>[TEMP] Pedro Reyes</x:v>
      </x:c>
      <x:c r="C441" s="1" t="str">
        <x:v>Entry</x:v>
      </x:c>
      <x:c r="D441" s="1" t="str">
        <x:v>HighSecurity</x:v>
      </x:c>
      <x:c r="E441" s="1" t="str">
        <x:v>GRANTED</x:v>
      </x:c>
      <x:c r="F441" s="11" t="n">
        <x:v>11.6948</x:v>
      </x:c>
      <x:c r="G441" s="11" t="n">
        <x:v>1375.3643</x:v>
      </x:c>
      <x:c r="H441" s="11" t="n">
        <x:v>39.0105</x:v>
      </x:c>
      <x:c r="I441" s="11" t="n">
        <x:v>1766.2942</x:v>
      </x:c>
      <x:c r="J441" s="11" t="n">
        <x:v>2.4812</x:v>
      </x:c>
      <x:c r="K441" s="11" t="n">
        <x:v>3141.6585</x:v>
      </x:c>
      <x:c r="L441" s="11" t="n">
        <x:v>53.1865</x:v>
      </x:c>
      <x:c r="M441" s="11" t="n">
        <x:v>43.9305</x:v>
      </x:c>
      <x:c r="N441" s="1" t="str">
        <x:v>6898be28591c4e1abe73f83f56b307e4</x:v>
      </x:c>
      <x:c r="O441" s="1" t="str">
        <x:v>Admin Office - 1</x:v>
      </x:c>
      <x:c r="P441" s="1" t="n">
        <x:v>2</x:v>
      </x:c>
      <x:c r="Q441" s="1" t="str">
        <x:v>high_security_mode_logs</x:v>
      </x:c>
      <x:c r="R441" s="1" t="n">
        <x:v>61</x:v>
      </x:c>
      <x:c r="S441" s="1" t="str">
        <x:v>Successful entry</x:v>
      </x:c>
      <x:c r="T441" s="1" t="n">
        <x:v>1</x:v>
      </x:c>
      <x:c r="U441" s="5" t="str"/>
      <x:c r="V441" s="1" t="n">
        <x:v>1</x:v>
      </x:c>
      <x:c r="W441" s="1" t="n">
        <x:v>1</x:v>
      </x:c>
      <x:c r="X441" s="1" t="str">
        <x:v>GRANTED</x:v>
      </x:c>
      <x:c r="Y441" s="1" t="n">
        <x:f>IF(V441=1,IF(E441="GRANTED",IF(X441="GRANTED",1,0),IF(X441="DENIED",1,0)),0)</x:f>
        <x:v>1</x:v>
      </x:c>
    </x:row>
    <x:row r="442" ht="23" customHeight="1">
      <x:c r="A442" s="9" t="n">
        <x:v>46247.447216597226</x:v>
      </x:c>
      <x:c r="B442" s="1" t="str">
        <x:v>[TEMP] Jose Santos</x:v>
      </x:c>
      <x:c r="C442" s="1" t="str">
        <x:v>Entry</x:v>
      </x:c>
      <x:c r="D442" s="1" t="str">
        <x:v>HighSecurity</x:v>
      </x:c>
      <x:c r="E442" s="1" t="str">
        <x:v>GRANTED</x:v>
      </x:c>
      <x:c r="F442" s="11" t="n">
        <x:v>10.8905</x:v>
      </x:c>
      <x:c r="G442" s="11" t="n">
        <x:v>2585.1063</x:v>
      </x:c>
      <x:c r="H442" s="11" t="n">
        <x:v>37.6715</x:v>
      </x:c>
      <x:c r="I442" s="11" t="n">
        <x:v>1101.4956</x:v>
      </x:c>
      <x:c r="J442" s="11" t="n">
        <x:v>2.441</x:v>
      </x:c>
      <x:c r="K442" s="11" t="n">
        <x:v>3686.6019</x:v>
      </x:c>
      <x:c r="L442" s="11" t="n">
        <x:v>51.003</x:v>
      </x:c>
      <x:c r="M442" s="11" t="n">
        <x:v>41.8456</x:v>
      </x:c>
      <x:c r="N442" s="1" t="str">
        <x:v>6898be28591c4e1abe73f83f56b307e4</x:v>
      </x:c>
      <x:c r="O442" s="1" t="str">
        <x:v>Admin Office - 1</x:v>
      </x:c>
      <x:c r="P442" s="1" t="n">
        <x:v>2</x:v>
      </x:c>
      <x:c r="Q442" s="1" t="str">
        <x:v>high_security_mode_logs</x:v>
      </x:c>
      <x:c r="R442" s="1" t="n">
        <x:v>62</x:v>
      </x:c>
      <x:c r="S442" s="1" t="str">
        <x:v>Successful entry</x:v>
      </x:c>
      <x:c r="T442" s="1" t="n">
        <x:v>1</x:v>
      </x:c>
      <x:c r="U442" s="5" t="str"/>
      <x:c r="V442" s="1" t="n">
        <x:v>1</x:v>
      </x:c>
      <x:c r="W442" s="1" t="n">
        <x:v>1</x:v>
      </x:c>
      <x:c r="X442" s="1" t="str">
        <x:v>GRANTED</x:v>
      </x:c>
      <x:c r="Y442" s="1" t="n">
        <x:f>IF(V442=1,IF(E442="GRANTED",IF(X442="GRANTED",1,0),IF(X442="DENIED",1,0)),0)</x:f>
        <x:v>1</x:v>
      </x:c>
    </x:row>
    <x:row r="443" ht="23" customHeight="1">
      <x:c r="A443" s="9" t="n">
        <x:v>46247.44712085648</x:v>
      </x:c>
      <x:c r="B443" s="1" t="str">
        <x:v>[TEMP] Juan Dela Cruz</x:v>
      </x:c>
      <x:c r="C443" s="1" t="str">
        <x:v>Entry</x:v>
      </x:c>
      <x:c r="D443" s="1" t="str">
        <x:v>HighSecurity</x:v>
      </x:c>
      <x:c r="E443" s="1" t="str">
        <x:v>GRANTED</x:v>
      </x:c>
      <x:c r="F443" s="11" t="n">
        <x:v>9.0262</x:v>
      </x:c>
      <x:c r="G443" s="11" t="n">
        <x:v>1649.6367</x:v>
      </x:c>
      <x:c r="H443" s="11" t="n">
        <x:v>38.0842</x:v>
      </x:c>
      <x:c r="I443" s="11" t="n">
        <x:v>3755.5288</x:v>
      </x:c>
      <x:c r="J443" s="11" t="n">
        <x:v>2.3939</x:v>
      </x:c>
      <x:c r="K443" s="11" t="n">
        <x:v>5405.1655</x:v>
      </x:c>
      <x:c r="L443" s="11" t="n">
        <x:v>49.5043</x:v>
      </x:c>
      <x:c r="M443" s="11" t="n">
        <x:v>81.3218</x:v>
      </x:c>
      <x:c r="N443" s="1" t="str">
        <x:v>6898be28591c4e1abe73f83f56b307e4</x:v>
      </x:c>
      <x:c r="O443" s="1" t="str">
        <x:v>Admin Office - 1</x:v>
      </x:c>
      <x:c r="P443" s="1" t="n">
        <x:v>2</x:v>
      </x:c>
      <x:c r="Q443" s="1" t="str">
        <x:v>high_security_mode_logs</x:v>
      </x:c>
      <x:c r="R443" s="1" t="n">
        <x:v>63</x:v>
      </x:c>
      <x:c r="S443" s="1" t="str">
        <x:v>Successful entry</x:v>
      </x:c>
      <x:c r="T443" s="1" t="n">
        <x:v>1</x:v>
      </x:c>
      <x:c r="U443" s="5" t="str"/>
      <x:c r="V443" s="1" t="n">
        <x:v>1</x:v>
      </x:c>
      <x:c r="W443" s="1" t="n">
        <x:v>1</x:v>
      </x:c>
      <x:c r="X443" s="1" t="str">
        <x:v>GRANTED</x:v>
      </x:c>
      <x:c r="Y443" s="1" t="n">
        <x:f>IF(V443=1,IF(E443="GRANTED",IF(X443="GRANTED",1,0),IF(X443="DENIED",1,0)),0)</x:f>
        <x:v>1</x:v>
      </x:c>
    </x:row>
    <x:row r="444" ht="23" customHeight="1">
      <x:c r="A444" s="12" t="n">
        <x:v>46247.44702385417</x:v>
      </x:c>
      <x:c r="B444" s="13" t="str">
        <x:v>[TEMP] Juan Dela Cruz</x:v>
      </x:c>
      <x:c r="C444" s="13" t="str">
        <x:v>Entry</x:v>
      </x:c>
      <x:c r="D444" s="13" t="str">
        <x:v>HighSecurity</x:v>
      </x:c>
      <x:c r="E444" s="13" t="str">
        <x:v>DENIED [PIN_FAILURE]</x:v>
      </x:c>
      <x:c r="F444" s="14" t="n">
        <x:v>9.0262</x:v>
      </x:c>
      <x:c r="G444" s="14" t="n">
        <x:v>2364.436</x:v>
      </x:c>
      <x:c r="H444" s="14" t="n">
        <x:v>40.47</x:v>
      </x:c>
      <x:c r="I444" s="14" t="str">
        <x:v>N/A (Bypassed)</x:v>
      </x:c>
      <x:c r="J444" s="14" t="str">
        <x:v>N/A (Bypassed)</x:v>
      </x:c>
      <x:c r="K444" s="14" t="n">
        <x:v>2364.436</x:v>
      </x:c>
      <x:c r="L444" s="14" t="n">
        <x:v>49.4962</x:v>
      </x:c>
      <x:c r="M444" s="14" t="n">
        <x:v>42.3538</x:v>
      </x:c>
      <x:c r="N444" s="13" t="str">
        <x:v>6898be28591c4e1abe73f83f56b307e4</x:v>
      </x:c>
      <x:c r="O444" s="13" t="str">
        <x:v>Admin Office - 1</x:v>
      </x:c>
      <x:c r="P444" s="13" t="n">
        <x:v>2</x:v>
      </x:c>
      <x:c r="Q444" s="13" t="str">
        <x:v>high_security_mode_logs</x:v>
      </x:c>
      <x:c r="R444" s="13" t="n">
        <x:v>64</x:v>
      </x:c>
      <x:c r="S444" s="13" t="str">
        <x:v>Denied record</x:v>
      </x:c>
      <x:c r="T444" s="13"/>
      <x:c r="U444" s="15" t="str"/>
      <x:c r="V444" s="1" t="n">
        <x:v>1</x:v>
      </x:c>
      <x:c r="W444" s="1" t="n">
        <x:v>1</x:v>
      </x:c>
      <x:c r="X444" s="1" t="str">
        <x:v>DENIED</x:v>
      </x:c>
      <x:c r="Y444" s="1" t="n">
        <x:f>IF(V444=1,IF(E444="GRANTED",IF(X444="GRANTED",1,0),IF(X444="DENIED",1,0)),0)</x:f>
        <x:v>1</x:v>
      </x:c>
    </x:row>
    <x:row r="445" ht="23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</x:row>
    <x:row r="446" ht="23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</x:row>
    <x:row r="447" ht="23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</x:row>
    <x:row r="448" ht="23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</x:row>
    <x:row r="449" ht="23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</x:row>
    <x:row r="450" ht="23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</x:row>
  </x:sheetData>
  <x:mergeCells>
    <x:mergeCell ref="A1:U1"/>
    <x:mergeCell ref="A2:U2"/>
    <x:mergeCell ref="A3:U3"/>
    <x:mergeCell ref="A4:U4"/>
    <x:mergeCell ref="A5:Y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38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4" t="str">
        <x:v>Manual paper attendance baseline</x:v>
      </x:c>
      <x:c r="B1" s="4" t="str">
        <x:v>Manual paper attendance baseline</x:v>
      </x:c>
      <x:c r="C1" s="4" t="str">
        <x:v>Manual paper attendance baseline</x:v>
      </x:c>
      <x:c r="D1" s="4" t="str">
        <x:v>Manual paper attendance baseline</x:v>
      </x:c>
      <x:c r="E1" s="4" t="str">
        <x:v>Manual paper attendance baseline</x:v>
      </x:c>
      <x:c r="F1" s="4" t="str">
        <x:v>Manual paper attendance baseline</x:v>
      </x:c>
    </x:row>
    <x:row r="2" ht="35" customHeight="1">
      <x:c r="A2" s="5" t="str">
        <x:v>Source: C:\Users\justine mendoza\Documents\METRICS first batch\Manual Process Baseline Testing - Sheet1.pdf</x:v>
      </x:c>
      <x:c r="B2" s="5" t="str">
        <x:v>Source: C:\Users\justine mendoza\Documents\METRICS first batch\Manual Process Baseline Testing - Sheet1.pdf</x:v>
      </x:c>
      <x:c r="C2" s="5" t="str">
        <x:v>Source: C:\Users\justine mendoza\Documents\METRICS first batch\Manual Process Baseline Testing - Sheet1.pdf</x:v>
      </x:c>
      <x:c r="D2" s="5" t="str">
        <x:v>Source: C:\Users\justine mendoza\Documents\METRICS first batch\Manual Process Baseline Testing - Sheet1.pdf</x:v>
      </x:c>
      <x:c r="E2" s="5" t="str">
        <x:v>Source: C:\Users\justine mendoza\Documents\METRICS first batch\Manual Process Baseline Testing - Sheet1.pdf</x:v>
      </x:c>
      <x:c r="F2" s="5" t="str">
        <x:v>Source: C:\Users\justine mendoza\Documents\METRICS first batch\Manual Process Baseline Testing - Sheet1.pdf</x:v>
      </x:c>
    </x:row>
    <x:row r="3" ht="35" customHeight="1">
      <x:c r="A3" s="5" t="str">
        <x:v>Timing: first written character to complete name, course and section, student ID and signature. No ID or enrollment validation.</x:v>
      </x:c>
      <x:c r="B3" s="5" t="str">
        <x:v>Timing: first written character to complete name, course and section, student ID and signature. No ID or enrollment validation.</x:v>
      </x:c>
      <x:c r="C3" s="5" t="str">
        <x:v>Timing: first written character to complete name, course and section, student ID and signature. No ID or enrollment validation.</x:v>
      </x:c>
      <x:c r="D3" s="5" t="str">
        <x:v>Timing: first written character to complete name, course and section, student ID and signature. No ID or enrollment validation.</x:v>
      </x:c>
      <x:c r="E3" s="5" t="str">
        <x:v>Timing: first written character to complete name, course and section, student ID and signature. No ID or enrollment validation.</x:v>
      </x:c>
      <x:c r="F3" s="5" t="str">
        <x:v>Timing: first written character to complete name, course and section, student ID and signature. No ID or enrollment validation.</x:v>
      </x:c>
    </x:row>
    <x:row r="4" ht="35" customHeight="1">
      <x:c r="A4" s="5" t="str">
        <x:v>70 writing durations. A summed service-time rate is not measured continuous queue throughput. Cohort linkage and test dates are not assumed.</x:v>
      </x:c>
      <x:c r="B4" s="5" t="str">
        <x:v>70 writing durations. A summed service-time rate is not measured continuous queue throughput. Cohort linkage and test dates are not assumed.</x:v>
      </x:c>
      <x:c r="C4" s="5" t="str">
        <x:v>70 writing durations. A summed service-time rate is not measured continuous queue throughput. Cohort linkage and test dates are not assumed.</x:v>
      </x:c>
      <x:c r="D4" s="5" t="str">
        <x:v>70 writing durations. A summed service-time rate is not measured continuous queue throughput. Cohort linkage and test dates are not assumed.</x:v>
      </x:c>
      <x:c r="E4" s="5" t="str">
        <x:v>70 writing durations. A summed service-time rate is not measured continuous queue throughput. Cohort linkage and test dates are not assumed.</x:v>
      </x:c>
      <x:c r="F4" s="5" t="str">
        <x:v>70 writing durations. A summed service-time rate is not measured continuous queue throughput. Cohort linkage and test dates are not assumed.</x:v>
      </x:c>
    </x:row>
    <x:row r="5" ht="23" customHeight="1">
      <x:c r="A5" s="1"/>
      <x:c r="B5" s="1"/>
      <x:c r="C5" s="1"/>
      <x:c r="D5" s="1"/>
      <x:c r="E5" s="1"/>
      <x:c r="F5" s="1"/>
    </x:row>
    <x:row r="6" ht="44" customHeight="1">
      <x:c r="A6" s="8" t="str">
        <x:v>Measure</x:v>
      </x:c>
      <x:c r="B6" s="8" t="str">
        <x:v>Result</x:v>
      </x:c>
      <x:c r="C6" s="1"/>
      <x:c r="D6" s="1"/>
      <x:c r="E6" s="1"/>
      <x:c r="F6" s="1"/>
    </x:row>
    <x:row r="7" ht="23" customHeight="1">
      <x:c r="A7" s="1" t="str">
        <x:v>Observations</x:v>
      </x:c>
      <x:c r="B7" s="1" t="n">
        <x:f>COUNT(B20:B89)</x:f>
        <x:v>70</x:v>
      </x:c>
      <x:c r="C7" s="1"/>
      <x:c r="D7" s="1"/>
      <x:c r="E7" s="1"/>
      <x:c r="F7" s="1"/>
    </x:row>
    <x:row r="8" ht="23" customHeight="1">
      <x:c r="A8" s="1" t="str">
        <x:v>Sum writing duration (s)</x:v>
      </x:c>
      <x:c r="B8" s="16" t="n">
        <x:f>SUM(B20:B89)</x:f>
        <x:v>1526.24</x:v>
      </x:c>
      <x:c r="C8" s="1"/>
      <x:c r="D8" s="1"/>
      <x:c r="E8" s="1"/>
      <x:c r="F8" s="1"/>
    </x:row>
    <x:row r="9" ht="23" customHeight="1">
      <x:c r="A9" s="1" t="str">
        <x:v>Mean writing duration (s)</x:v>
      </x:c>
      <x:c r="B9" s="16" t="n">
        <x:f>AVERAGE(B20:B89)</x:f>
        <x:v>21.803428571428572</x:v>
      </x:c>
      <x:c r="C9" s="1"/>
      <x:c r="D9" s="1"/>
      <x:c r="E9" s="1"/>
      <x:c r="F9" s="1"/>
    </x:row>
    <x:row r="10" ht="23" customHeight="1">
      <x:c r="A10" s="1" t="str">
        <x:v>Median writing duration (s)</x:v>
      </x:c>
      <x:c r="B10" s="16" t="n">
        <x:f>MEDIAN(B20:B89)</x:f>
        <x:v>21.134999999999998</x:v>
      </x:c>
      <x:c r="C10" s="1"/>
      <x:c r="D10" s="1"/>
      <x:c r="E10" s="1"/>
      <x:c r="F10" s="1"/>
    </x:row>
    <x:row r="11" ht="23" customHeight="1">
      <x:c r="A11" s="1" t="str">
        <x:v>Sample SD (s)</x:v>
      </x:c>
      <x:c r="B11" s="16" t="n">
        <x:f>STDEV(B20:B89)</x:f>
        <x:v>4.436062324190158</x:v>
      </x:c>
      <x:c r="C11" s="1"/>
      <x:c r="D11" s="1"/>
      <x:c r="E11" s="1"/>
      <x:c r="F11" s="1"/>
    </x:row>
    <x:row r="12" ht="23" customHeight="1">
      <x:c r="A12" s="1" t="str">
        <x:v>Minimum (s)</x:v>
      </x:c>
      <x:c r="B12" s="16" t="n">
        <x:f>MIN(B20:B89)</x:f>
        <x:v>13.21</x:v>
      </x:c>
      <x:c r="C12" s="1"/>
      <x:c r="D12" s="1"/>
      <x:c r="E12" s="1"/>
      <x:c r="F12" s="1"/>
    </x:row>
    <x:row r="13" ht="23" customHeight="1">
      <x:c r="A13" s="1" t="str">
        <x:v>Maximum (s)</x:v>
      </x:c>
      <x:c r="B13" s="16" t="n">
        <x:f>MAX(B20:B89)</x:f>
        <x:v>37.63</x:v>
      </x:c>
      <x:c r="C13" s="1"/>
      <x:c r="D13" s="1"/>
      <x:c r="E13" s="1"/>
      <x:c r="F13" s="1"/>
    </x:row>
    <x:row r="14" ht="23" customHeight="1">
      <x:c r="A14" s="1" t="str">
        <x:v>Service-equivalent rate (/min)</x:v>
      </x:c>
      <x:c r="B14" s="16" t="n">
        <x:f>60/B9</x:f>
        <x:v>2.751860782052626</x:v>
      </x:c>
      <x:c r="C14" s="1"/>
      <x:c r="D14" s="1"/>
      <x:c r="E14" s="1"/>
      <x:c r="F14" s="1"/>
    </x:row>
    <x:row r="15" ht="23" customHeight="1">
      <x:c r="A15" s="1" t="str">
        <x:v>Enrollment checks performed</x:v>
      </x:c>
      <x:c r="B15" s="1" t="n">
        <x:v>0</x:v>
      </x:c>
      <x:c r="C15" s="1"/>
      <x:c r="D15" s="1"/>
      <x:c r="E15" s="1"/>
      <x:c r="F15" s="1"/>
    </x:row>
    <x:row r="16" ht="23" customHeight="1">
      <x:c r="A16" s="1"/>
      <x:c r="B16" s="1"/>
      <x:c r="C16" s="1"/>
      <x:c r="D16" s="1"/>
      <x:c r="E16" s="1"/>
      <x:c r="F16" s="1"/>
    </x:row>
    <x:row r="17" ht="35" customHeight="1">
      <x:c r="A17" s="5" t="str">
        <x:v>Source SHA-256: 5e22d44c7ec6ea4b36363e78254a4ecb36e3ecc980e98177c2f9534445fe04fe</x:v>
      </x:c>
      <x:c r="B17" s="5" t="str">
        <x:v>Source SHA-256: 5e22d44c7ec6ea4b36363e78254a4ecb36e3ecc980e98177c2f9534445fe04fe</x:v>
      </x:c>
      <x:c r="C17" s="5" t="str">
        <x:v>Source SHA-256: 5e22d44c7ec6ea4b36363e78254a4ecb36e3ecc980e98177c2f9534445fe04fe</x:v>
      </x:c>
      <x:c r="D17" s="5" t="str">
        <x:v>Source SHA-256: 5e22d44c7ec6ea4b36363e78254a4ecb36e3ecc980e98177c2f9534445fe04fe</x:v>
      </x:c>
      <x:c r="E17" s="5" t="str">
        <x:v>Source SHA-256: 5e22d44c7ec6ea4b36363e78254a4ecb36e3ecc980e98177c2f9534445fe04fe</x:v>
      </x:c>
      <x:c r="F17" s="5" t="str">
        <x:v>Source SHA-256: 5e22d44c7ec6ea4b36363e78254a4ecb36e3ecc980e98177c2f9534445fe04fe</x:v>
      </x:c>
    </x:row>
    <x:row r="18" ht="23" customHeight="1">
      <x:c r="A18" s="1"/>
      <x:c r="B18" s="1"/>
      <x:c r="C18" s="1"/>
      <x:c r="D18" s="1"/>
      <x:c r="E18" s="1"/>
      <x:c r="F18" s="1"/>
    </x:row>
    <x:row r="19" ht="44" customHeight="1">
      <x:c r="A19" s="8" t="str">
        <x:v>Respondent number</x:v>
      </x:c>
      <x:c r="B19" s="8" t="str">
        <x:v>Writing duration (s)</x:v>
      </x:c>
      <x:c r="C19" s="1"/>
      <x:c r="D19" s="1"/>
      <x:c r="E19" s="1"/>
      <x:c r="F19" s="1"/>
    </x:row>
    <x:row r="20" ht="23" customHeight="1">
      <x:c r="A20" s="1" t="n">
        <x:v>1</x:v>
      </x:c>
      <x:c r="B20" s="30" t="n">
        <x:v>26.23</x:v>
      </x:c>
      <x:c r="C20" s="1"/>
      <x:c r="D20" s="1"/>
      <x:c r="E20" s="1"/>
      <x:c r="F20" s="1"/>
    </x:row>
    <x:row r="21" ht="23" customHeight="1">
      <x:c r="A21" s="1" t="n">
        <x:v>2</x:v>
      </x:c>
      <x:c r="B21" s="30" t="n">
        <x:v>16.56</x:v>
      </x:c>
      <x:c r="C21" s="1"/>
      <x:c r="D21" s="1"/>
      <x:c r="E21" s="1"/>
      <x:c r="F21" s="1"/>
    </x:row>
    <x:row r="22" ht="23" customHeight="1">
      <x:c r="A22" s="1" t="n">
        <x:v>3</x:v>
      </x:c>
      <x:c r="B22" s="30" t="n">
        <x:v>27</x:v>
      </x:c>
      <x:c r="C22" s="1"/>
      <x:c r="D22" s="1"/>
      <x:c r="E22" s="1"/>
      <x:c r="F22" s="1"/>
    </x:row>
    <x:row r="23" ht="23" customHeight="1">
      <x:c r="A23" s="1" t="n">
        <x:v>4</x:v>
      </x:c>
      <x:c r="B23" s="30" t="n">
        <x:v>20.68</x:v>
      </x:c>
      <x:c r="C23" s="1"/>
      <x:c r="D23" s="1"/>
      <x:c r="E23" s="1"/>
      <x:c r="F23" s="1"/>
    </x:row>
    <x:row r="24" ht="23" customHeight="1">
      <x:c r="A24" s="1" t="n">
        <x:v>5</x:v>
      </x:c>
      <x:c r="B24" s="30" t="n">
        <x:v>23.12</x:v>
      </x:c>
      <x:c r="C24" s="1"/>
      <x:c r="D24" s="1"/>
      <x:c r="E24" s="1"/>
      <x:c r="F24" s="1"/>
    </x:row>
    <x:row r="25" ht="23" customHeight="1">
      <x:c r="A25" s="1" t="n">
        <x:v>6</x:v>
      </x:c>
      <x:c r="B25" s="30" t="n">
        <x:v>27.22</x:v>
      </x:c>
      <x:c r="C25" s="1"/>
      <x:c r="D25" s="1"/>
      <x:c r="E25" s="1"/>
      <x:c r="F25" s="1"/>
    </x:row>
    <x:row r="26" ht="23" customHeight="1">
      <x:c r="A26" s="1" t="n">
        <x:v>7</x:v>
      </x:c>
      <x:c r="B26" s="30" t="n">
        <x:v>20.63</x:v>
      </x:c>
      <x:c r="C26" s="1"/>
      <x:c r="D26" s="1"/>
      <x:c r="E26" s="1"/>
      <x:c r="F26" s="1"/>
    </x:row>
    <x:row r="27" ht="23" customHeight="1">
      <x:c r="A27" s="1" t="n">
        <x:v>8</x:v>
      </x:c>
      <x:c r="B27" s="30" t="n">
        <x:v>22.29</x:v>
      </x:c>
      <x:c r="C27" s="1"/>
      <x:c r="D27" s="1"/>
      <x:c r="E27" s="1"/>
      <x:c r="F27" s="1"/>
    </x:row>
    <x:row r="28" ht="23" customHeight="1">
      <x:c r="A28" s="1" t="n">
        <x:v>9</x:v>
      </x:c>
      <x:c r="B28" s="30" t="n">
        <x:v>27.11</x:v>
      </x:c>
      <x:c r="C28" s="1"/>
      <x:c r="D28" s="1"/>
      <x:c r="E28" s="1"/>
      <x:c r="F28" s="1"/>
    </x:row>
    <x:row r="29" ht="23" customHeight="1">
      <x:c r="A29" s="1" t="n">
        <x:v>10</x:v>
      </x:c>
      <x:c r="B29" s="30" t="n">
        <x:v>21.13</x:v>
      </x:c>
      <x:c r="C29" s="1"/>
      <x:c r="D29" s="1"/>
      <x:c r="E29" s="1"/>
      <x:c r="F29" s="1"/>
    </x:row>
    <x:row r="30" ht="23" customHeight="1">
      <x:c r="A30" s="1" t="n">
        <x:v>11</x:v>
      </x:c>
      <x:c r="B30" s="30" t="n">
        <x:v>21.35</x:v>
      </x:c>
      <x:c r="C30" s="1"/>
      <x:c r="D30" s="1"/>
      <x:c r="E30" s="1"/>
      <x:c r="F30" s="1"/>
    </x:row>
    <x:row r="31" ht="23" customHeight="1">
      <x:c r="A31" s="1" t="n">
        <x:v>12</x:v>
      </x:c>
      <x:c r="B31" s="30" t="n">
        <x:v>22.64</x:v>
      </x:c>
      <x:c r="C31" s="1"/>
      <x:c r="D31" s="1"/>
      <x:c r="E31" s="1"/>
      <x:c r="F31" s="1"/>
    </x:row>
    <x:row r="32" ht="23" customHeight="1">
      <x:c r="A32" s="1" t="n">
        <x:v>13</x:v>
      </x:c>
      <x:c r="B32" s="30" t="n">
        <x:v>15.19</x:v>
      </x:c>
      <x:c r="C32" s="1"/>
      <x:c r="D32" s="1"/>
      <x:c r="E32" s="1"/>
      <x:c r="F32" s="1"/>
    </x:row>
    <x:row r="33" ht="23" customHeight="1">
      <x:c r="A33" s="1" t="n">
        <x:v>14</x:v>
      </x:c>
      <x:c r="B33" s="30" t="n">
        <x:v>26</x:v>
      </x:c>
      <x:c r="C33" s="1"/>
      <x:c r="D33" s="1"/>
      <x:c r="E33" s="1"/>
      <x:c r="F33" s="1"/>
    </x:row>
    <x:row r="34" ht="23" customHeight="1">
      <x:c r="A34" s="1" t="n">
        <x:v>15</x:v>
      </x:c>
      <x:c r="B34" s="30" t="n">
        <x:v>13.21</x:v>
      </x:c>
      <x:c r="C34" s="1"/>
      <x:c r="D34" s="1"/>
      <x:c r="E34" s="1"/>
      <x:c r="F34" s="1"/>
    </x:row>
    <x:row r="35" ht="23" customHeight="1">
      <x:c r="A35" s="1" t="n">
        <x:v>16</x:v>
      </x:c>
      <x:c r="B35" s="30" t="n">
        <x:v>22.22</x:v>
      </x:c>
      <x:c r="C35" s="1"/>
      <x:c r="D35" s="1"/>
      <x:c r="E35" s="1"/>
      <x:c r="F35" s="1"/>
    </x:row>
    <x:row r="36" ht="23" customHeight="1">
      <x:c r="A36" s="1" t="n">
        <x:v>17</x:v>
      </x:c>
      <x:c r="B36" s="30" t="n">
        <x:v>15.98</x:v>
      </x:c>
      <x:c r="C36" s="1"/>
      <x:c r="D36" s="1"/>
      <x:c r="E36" s="1"/>
      <x:c r="F36" s="1"/>
    </x:row>
    <x:row r="37" ht="23" customHeight="1">
      <x:c r="A37" s="1" t="n">
        <x:v>18</x:v>
      </x:c>
      <x:c r="B37" s="30" t="n">
        <x:v>25.42</x:v>
      </x:c>
      <x:c r="C37" s="1"/>
      <x:c r="D37" s="1"/>
      <x:c r="E37" s="1"/>
      <x:c r="F37" s="1"/>
    </x:row>
    <x:row r="38" ht="23" customHeight="1">
      <x:c r="A38" s="1" t="n">
        <x:v>19</x:v>
      </x:c>
      <x:c r="B38" s="30" t="n">
        <x:v>30.17</x:v>
      </x:c>
      <x:c r="C38" s="1"/>
      <x:c r="D38" s="1"/>
      <x:c r="E38" s="1"/>
      <x:c r="F38" s="1"/>
    </x:row>
    <x:row r="39" ht="23" customHeight="1">
      <x:c r="A39" s="1" t="n">
        <x:v>20</x:v>
      </x:c>
      <x:c r="B39" s="30" t="n">
        <x:v>25.03</x:v>
      </x:c>
      <x:c r="C39" s="1"/>
      <x:c r="D39" s="1"/>
      <x:c r="E39" s="1"/>
      <x:c r="F39" s="1"/>
    </x:row>
    <x:row r="40" ht="23" customHeight="1">
      <x:c r="A40" s="1" t="n">
        <x:v>21</x:v>
      </x:c>
      <x:c r="B40" s="30" t="n">
        <x:v>17.41</x:v>
      </x:c>
      <x:c r="C40" s="1"/>
      <x:c r="D40" s="1"/>
      <x:c r="E40" s="1"/>
      <x:c r="F40" s="1"/>
    </x:row>
    <x:row r="41" ht="23" customHeight="1">
      <x:c r="A41" s="1" t="n">
        <x:v>22</x:v>
      </x:c>
      <x:c r="B41" s="30" t="n">
        <x:v>16.18</x:v>
      </x:c>
      <x:c r="C41" s="1"/>
      <x:c r="D41" s="1"/>
      <x:c r="E41" s="1"/>
      <x:c r="F41" s="1"/>
    </x:row>
    <x:row r="42" ht="23" customHeight="1">
      <x:c r="A42" s="1" t="n">
        <x:v>23</x:v>
      </x:c>
      <x:c r="B42" s="30" t="n">
        <x:v>20.06</x:v>
      </x:c>
      <x:c r="C42" s="1"/>
      <x:c r="D42" s="1"/>
      <x:c r="E42" s="1"/>
      <x:c r="F42" s="1"/>
    </x:row>
    <x:row r="43" ht="23" customHeight="1">
      <x:c r="A43" s="1" t="n">
        <x:v>24</x:v>
      </x:c>
      <x:c r="B43" s="30" t="n">
        <x:v>17.13</x:v>
      </x:c>
      <x:c r="C43" s="1"/>
      <x:c r="D43" s="1"/>
      <x:c r="E43" s="1"/>
      <x:c r="F43" s="1"/>
    </x:row>
    <x:row r="44" ht="23" customHeight="1">
      <x:c r="A44" s="1" t="n">
        <x:v>25</x:v>
      </x:c>
      <x:c r="B44" s="30" t="n">
        <x:v>19.02</x:v>
      </x:c>
      <x:c r="C44" s="1"/>
      <x:c r="D44" s="1"/>
      <x:c r="E44" s="1"/>
      <x:c r="F44" s="1"/>
    </x:row>
    <x:row r="45" ht="23" customHeight="1">
      <x:c r="A45" s="1" t="n">
        <x:v>26</x:v>
      </x:c>
      <x:c r="B45" s="30" t="n">
        <x:v>16.51</x:v>
      </x:c>
      <x:c r="C45" s="1"/>
      <x:c r="D45" s="1"/>
      <x:c r="E45" s="1"/>
      <x:c r="F45" s="1"/>
    </x:row>
    <x:row r="46" ht="23" customHeight="1">
      <x:c r="A46" s="1" t="n">
        <x:v>27</x:v>
      </x:c>
      <x:c r="B46" s="30" t="n">
        <x:v>24.05</x:v>
      </x:c>
      <x:c r="C46" s="1"/>
      <x:c r="D46" s="1"/>
      <x:c r="E46" s="1"/>
      <x:c r="F46" s="1"/>
    </x:row>
    <x:row r="47" ht="23" customHeight="1">
      <x:c r="A47" s="1" t="n">
        <x:v>28</x:v>
      </x:c>
      <x:c r="B47" s="30" t="n">
        <x:v>27.5</x:v>
      </x:c>
      <x:c r="C47" s="1"/>
      <x:c r="D47" s="1"/>
      <x:c r="E47" s="1"/>
      <x:c r="F47" s="1"/>
    </x:row>
    <x:row r="48" ht="23" customHeight="1">
      <x:c r="A48" s="1" t="n">
        <x:v>29</x:v>
      </x:c>
      <x:c r="B48" s="30" t="n">
        <x:v>19.74</x:v>
      </x:c>
      <x:c r="C48" s="1"/>
      <x:c r="D48" s="1"/>
      <x:c r="E48" s="1"/>
      <x:c r="F48" s="1"/>
    </x:row>
    <x:row r="49" ht="23" customHeight="1">
      <x:c r="A49" s="1" t="n">
        <x:v>30</x:v>
      </x:c>
      <x:c r="B49" s="30" t="n">
        <x:v>18.41</x:v>
      </x:c>
      <x:c r="C49" s="1"/>
      <x:c r="D49" s="1"/>
      <x:c r="E49" s="1"/>
      <x:c r="F49" s="1"/>
    </x:row>
    <x:row r="50" ht="23" customHeight="1">
      <x:c r="A50" s="1" t="n">
        <x:v>31</x:v>
      </x:c>
      <x:c r="B50" s="30" t="n">
        <x:v>22.29</x:v>
      </x:c>
      <x:c r="C50" s="1"/>
      <x:c r="D50" s="1"/>
      <x:c r="E50" s="1"/>
      <x:c r="F50" s="1"/>
    </x:row>
    <x:row r="51" ht="23" customHeight="1">
      <x:c r="A51" s="1" t="n">
        <x:v>32</x:v>
      </x:c>
      <x:c r="B51" s="30" t="n">
        <x:v>21.06</x:v>
      </x:c>
      <x:c r="C51" s="1"/>
      <x:c r="D51" s="1"/>
      <x:c r="E51" s="1"/>
      <x:c r="F51" s="1"/>
    </x:row>
    <x:row r="52" ht="23" customHeight="1">
      <x:c r="A52" s="1" t="n">
        <x:v>33</x:v>
      </x:c>
      <x:c r="B52" s="30" t="n">
        <x:v>17.52</x:v>
      </x:c>
      <x:c r="C52" s="1"/>
      <x:c r="D52" s="1"/>
      <x:c r="E52" s="1"/>
      <x:c r="F52" s="1"/>
    </x:row>
    <x:row r="53" ht="23" customHeight="1">
      <x:c r="A53" s="1" t="n">
        <x:v>34</x:v>
      </x:c>
      <x:c r="B53" s="30" t="n">
        <x:v>20.37</x:v>
      </x:c>
      <x:c r="C53" s="1"/>
      <x:c r="D53" s="1"/>
      <x:c r="E53" s="1"/>
      <x:c r="F53" s="1"/>
    </x:row>
    <x:row r="54" ht="23" customHeight="1">
      <x:c r="A54" s="1" t="n">
        <x:v>35</x:v>
      </x:c>
      <x:c r="B54" s="30" t="n">
        <x:v>18.17</x:v>
      </x:c>
      <x:c r="C54" s="1"/>
      <x:c r="D54" s="1"/>
      <x:c r="E54" s="1"/>
      <x:c r="F54" s="1"/>
    </x:row>
    <x:row r="55" ht="23" customHeight="1">
      <x:c r="A55" s="1" t="n">
        <x:v>36</x:v>
      </x:c>
      <x:c r="B55" s="30" t="n">
        <x:v>30.27</x:v>
      </x:c>
      <x:c r="C55" s="1"/>
      <x:c r="D55" s="1"/>
      <x:c r="E55" s="1"/>
      <x:c r="F55" s="1"/>
    </x:row>
    <x:row r="56" ht="23" customHeight="1">
      <x:c r="A56" s="1" t="n">
        <x:v>37</x:v>
      </x:c>
      <x:c r="B56" s="30" t="n">
        <x:v>22.99</x:v>
      </x:c>
      <x:c r="C56" s="1"/>
      <x:c r="D56" s="1"/>
      <x:c r="E56" s="1"/>
      <x:c r="F56" s="1"/>
    </x:row>
    <x:row r="57" ht="23" customHeight="1">
      <x:c r="A57" s="1" t="n">
        <x:v>38</x:v>
      </x:c>
      <x:c r="B57" s="30" t="n">
        <x:v>20.26</x:v>
      </x:c>
      <x:c r="C57" s="1"/>
      <x:c r="D57" s="1"/>
      <x:c r="E57" s="1"/>
      <x:c r="F57" s="1"/>
    </x:row>
    <x:row r="58" ht="23" customHeight="1">
      <x:c r="A58" s="1" t="n">
        <x:v>39</x:v>
      </x:c>
      <x:c r="B58" s="30" t="n">
        <x:v>18.03</x:v>
      </x:c>
      <x:c r="C58" s="1"/>
      <x:c r="D58" s="1"/>
      <x:c r="E58" s="1"/>
      <x:c r="F58" s="1"/>
    </x:row>
    <x:row r="59" ht="23" customHeight="1">
      <x:c r="A59" s="1" t="n">
        <x:v>40</x:v>
      </x:c>
      <x:c r="B59" s="30" t="n">
        <x:v>18.48</x:v>
      </x:c>
      <x:c r="C59" s="1"/>
      <x:c r="D59" s="1"/>
      <x:c r="E59" s="1"/>
      <x:c r="F59" s="1"/>
    </x:row>
    <x:row r="60" ht="23" customHeight="1">
      <x:c r="A60" s="1" t="n">
        <x:v>41</x:v>
      </x:c>
      <x:c r="B60" s="30" t="n">
        <x:v>22.45</x:v>
      </x:c>
      <x:c r="C60" s="1"/>
      <x:c r="D60" s="1"/>
      <x:c r="E60" s="1"/>
      <x:c r="F60" s="1"/>
    </x:row>
    <x:row r="61" ht="23" customHeight="1">
      <x:c r="A61" s="1" t="n">
        <x:v>42</x:v>
      </x:c>
      <x:c r="B61" s="30" t="n">
        <x:v>26.91</x:v>
      </x:c>
      <x:c r="C61" s="1"/>
      <x:c r="D61" s="1"/>
      <x:c r="E61" s="1"/>
      <x:c r="F61" s="1"/>
    </x:row>
    <x:row r="62" ht="23" customHeight="1">
      <x:c r="A62" s="1" t="n">
        <x:v>43</x:v>
      </x:c>
      <x:c r="B62" s="30" t="n">
        <x:v>37.63</x:v>
      </x:c>
      <x:c r="C62" s="1"/>
      <x:c r="D62" s="1"/>
      <x:c r="E62" s="1"/>
      <x:c r="F62" s="1"/>
    </x:row>
    <x:row r="63" ht="23" customHeight="1">
      <x:c r="A63" s="1" t="n">
        <x:v>44</x:v>
      </x:c>
      <x:c r="B63" s="30" t="n">
        <x:v>21.59</x:v>
      </x:c>
      <x:c r="C63" s="1"/>
      <x:c r="D63" s="1"/>
      <x:c r="E63" s="1"/>
      <x:c r="F63" s="1"/>
    </x:row>
    <x:row r="64" ht="23" customHeight="1">
      <x:c r="A64" s="1" t="n">
        <x:v>45</x:v>
      </x:c>
      <x:c r="B64" s="30" t="n">
        <x:v>16.34</x:v>
      </x:c>
      <x:c r="C64" s="1"/>
      <x:c r="D64" s="1"/>
      <x:c r="E64" s="1"/>
      <x:c r="F64" s="1"/>
    </x:row>
    <x:row r="65" ht="23" customHeight="1">
      <x:c r="A65" s="1" t="n">
        <x:v>46</x:v>
      </x:c>
      <x:c r="B65" s="30" t="n">
        <x:v>20.67</x:v>
      </x:c>
      <x:c r="C65" s="1"/>
      <x:c r="D65" s="1"/>
      <x:c r="E65" s="1"/>
      <x:c r="F65" s="1"/>
    </x:row>
    <x:row r="66" ht="23" customHeight="1">
      <x:c r="A66" s="1" t="n">
        <x:v>47</x:v>
      </x:c>
      <x:c r="B66" s="30" t="n">
        <x:v>23.59</x:v>
      </x:c>
      <x:c r="C66" s="1"/>
      <x:c r="D66" s="1"/>
      <x:c r="E66" s="1"/>
      <x:c r="F66" s="1"/>
    </x:row>
    <x:row r="67" ht="23" customHeight="1">
      <x:c r="A67" s="1" t="n">
        <x:v>48</x:v>
      </x:c>
      <x:c r="B67" s="30" t="n">
        <x:v>17.74</x:v>
      </x:c>
      <x:c r="C67" s="1"/>
      <x:c r="D67" s="1"/>
      <x:c r="E67" s="1"/>
      <x:c r="F67" s="1"/>
    </x:row>
    <x:row r="68" ht="23" customHeight="1">
      <x:c r="A68" s="1" t="n">
        <x:v>49</x:v>
      </x:c>
      <x:c r="B68" s="30" t="n">
        <x:v>24.23</x:v>
      </x:c>
      <x:c r="C68" s="1"/>
      <x:c r="D68" s="1"/>
      <x:c r="E68" s="1"/>
      <x:c r="F68" s="1"/>
    </x:row>
    <x:row r="69" ht="23" customHeight="1">
      <x:c r="A69" s="1" t="n">
        <x:v>50</x:v>
      </x:c>
      <x:c r="B69" s="30" t="n">
        <x:v>20.13</x:v>
      </x:c>
      <x:c r="C69" s="1"/>
      <x:c r="D69" s="1"/>
      <x:c r="E69" s="1"/>
      <x:c r="F69" s="1"/>
    </x:row>
    <x:row r="70" ht="23" customHeight="1">
      <x:c r="A70" s="1" t="n">
        <x:v>51</x:v>
      </x:c>
      <x:c r="B70" s="30" t="n">
        <x:v>20.34</x:v>
      </x:c>
      <x:c r="C70" s="1"/>
      <x:c r="D70" s="1"/>
      <x:c r="E70" s="1"/>
      <x:c r="F70" s="1"/>
    </x:row>
    <x:row r="71" ht="23" customHeight="1">
      <x:c r="A71" s="1" t="n">
        <x:v>52</x:v>
      </x:c>
      <x:c r="B71" s="30" t="n">
        <x:v>17.7</x:v>
      </x:c>
      <x:c r="C71" s="1"/>
      <x:c r="D71" s="1"/>
      <x:c r="E71" s="1"/>
      <x:c r="F71" s="1"/>
    </x:row>
    <x:row r="72" ht="23" customHeight="1">
      <x:c r="A72" s="1" t="n">
        <x:v>53</x:v>
      </x:c>
      <x:c r="B72" s="30" t="n">
        <x:v>30.4</x:v>
      </x:c>
      <x:c r="C72" s="1"/>
      <x:c r="D72" s="1"/>
      <x:c r="E72" s="1"/>
      <x:c r="F72" s="1"/>
    </x:row>
    <x:row r="73" ht="23" customHeight="1">
      <x:c r="A73" s="1" t="n">
        <x:v>54</x:v>
      </x:c>
      <x:c r="B73" s="30" t="n">
        <x:v>26.08</x:v>
      </x:c>
      <x:c r="C73" s="1"/>
      <x:c r="D73" s="1"/>
      <x:c r="E73" s="1"/>
      <x:c r="F73" s="1"/>
    </x:row>
    <x:row r="74" ht="23" customHeight="1">
      <x:c r="A74" s="1" t="n">
        <x:v>55</x:v>
      </x:c>
      <x:c r="B74" s="30" t="n">
        <x:v>24.11</x:v>
      </x:c>
      <x:c r="C74" s="1"/>
      <x:c r="D74" s="1"/>
      <x:c r="E74" s="1"/>
      <x:c r="F74" s="1"/>
    </x:row>
    <x:row r="75" ht="23" customHeight="1">
      <x:c r="A75" s="1" t="n">
        <x:v>56</x:v>
      </x:c>
      <x:c r="B75" s="30" t="n">
        <x:v>18.22</x:v>
      </x:c>
      <x:c r="C75" s="1"/>
      <x:c r="D75" s="1"/>
      <x:c r="E75" s="1"/>
      <x:c r="F75" s="1"/>
    </x:row>
    <x:row r="76" ht="23" customHeight="1">
      <x:c r="A76" s="1" t="n">
        <x:v>57</x:v>
      </x:c>
      <x:c r="B76" s="30" t="n">
        <x:v>25.24</x:v>
      </x:c>
      <x:c r="C76" s="1"/>
      <x:c r="D76" s="1"/>
      <x:c r="E76" s="1"/>
      <x:c r="F76" s="1"/>
    </x:row>
    <x:row r="77" ht="23" customHeight="1">
      <x:c r="A77" s="1" t="n">
        <x:v>58</x:v>
      </x:c>
      <x:c r="B77" s="30" t="n">
        <x:v>27.82</x:v>
      </x:c>
      <x:c r="C77" s="1"/>
      <x:c r="D77" s="1"/>
      <x:c r="E77" s="1"/>
      <x:c r="F77" s="1"/>
    </x:row>
    <x:row r="78" ht="23" customHeight="1">
      <x:c r="A78" s="1" t="n">
        <x:v>59</x:v>
      </x:c>
      <x:c r="B78" s="30" t="n">
        <x:v>24.38</x:v>
      </x:c>
      <x:c r="C78" s="1"/>
      <x:c r="D78" s="1"/>
      <x:c r="E78" s="1"/>
      <x:c r="F78" s="1"/>
    </x:row>
    <x:row r="79" ht="23" customHeight="1">
      <x:c r="A79" s="1" t="n">
        <x:v>60</x:v>
      </x:c>
      <x:c r="B79" s="30" t="n">
        <x:v>16.96</x:v>
      </x:c>
      <x:c r="C79" s="1"/>
      <x:c r="D79" s="1"/>
      <x:c r="E79" s="1"/>
      <x:c r="F79" s="1"/>
    </x:row>
    <x:row r="80" ht="23" customHeight="1">
      <x:c r="A80" s="1" t="n">
        <x:v>61</x:v>
      </x:c>
      <x:c r="B80" s="30" t="n">
        <x:v>16.06</x:v>
      </x:c>
      <x:c r="C80" s="1"/>
      <x:c r="D80" s="1"/>
      <x:c r="E80" s="1"/>
      <x:c r="F80" s="1"/>
    </x:row>
    <x:row r="81" ht="23" customHeight="1">
      <x:c r="A81" s="1" t="n">
        <x:v>62</x:v>
      </x:c>
      <x:c r="B81" s="30" t="n">
        <x:v>23.66</x:v>
      </x:c>
      <x:c r="C81" s="1"/>
      <x:c r="D81" s="1"/>
      <x:c r="E81" s="1"/>
      <x:c r="F81" s="1"/>
    </x:row>
    <x:row r="82" ht="23" customHeight="1">
      <x:c r="A82" s="1" t="n">
        <x:v>63</x:v>
      </x:c>
      <x:c r="B82" s="30" t="n">
        <x:v>21.14</x:v>
      </x:c>
      <x:c r="C82" s="1"/>
      <x:c r="D82" s="1"/>
      <x:c r="E82" s="1"/>
      <x:c r="F82" s="1"/>
    </x:row>
    <x:row r="83" ht="23" customHeight="1">
      <x:c r="A83" s="1" t="n">
        <x:v>64</x:v>
      </x:c>
      <x:c r="B83" s="30" t="n">
        <x:v>18.93</x:v>
      </x:c>
      <x:c r="C83" s="1"/>
      <x:c r="D83" s="1"/>
      <x:c r="E83" s="1"/>
      <x:c r="F83" s="1"/>
    </x:row>
    <x:row r="84" ht="23" customHeight="1">
      <x:c r="A84" s="1" t="n">
        <x:v>65</x:v>
      </x:c>
      <x:c r="B84" s="30" t="n">
        <x:v>23.21</x:v>
      </x:c>
      <x:c r="C84" s="1"/>
      <x:c r="D84" s="1"/>
      <x:c r="E84" s="1"/>
      <x:c r="F84" s="1"/>
    </x:row>
    <x:row r="85" ht="23" customHeight="1">
      <x:c r="A85" s="1" t="n">
        <x:v>66</x:v>
      </x:c>
      <x:c r="B85" s="30" t="n">
        <x:v>18.93</x:v>
      </x:c>
      <x:c r="C85" s="1"/>
      <x:c r="D85" s="1"/>
      <x:c r="E85" s="1"/>
      <x:c r="F85" s="1"/>
    </x:row>
    <x:row r="86" ht="23" customHeight="1">
      <x:c r="A86" s="1" t="n">
        <x:v>67</x:v>
      </x:c>
      <x:c r="B86" s="30" t="n">
        <x:v>25.99</x:v>
      </x:c>
      <x:c r="C86" s="1"/>
      <x:c r="D86" s="1"/>
      <x:c r="E86" s="1"/>
      <x:c r="F86" s="1"/>
    </x:row>
    <x:row r="87" ht="23" customHeight="1">
      <x:c r="A87" s="1" t="n">
        <x:v>68</x:v>
      </x:c>
      <x:c r="B87" s="30" t="n">
        <x:v>24.82</x:v>
      </x:c>
      <x:c r="C87" s="1"/>
      <x:c r="D87" s="1"/>
      <x:c r="E87" s="1"/>
      <x:c r="F87" s="1"/>
    </x:row>
    <x:row r="88" ht="23" customHeight="1">
      <x:c r="A88" s="1" t="n">
        <x:v>69</x:v>
      </x:c>
      <x:c r="B88" s="30" t="n">
        <x:v>19.77</x:v>
      </x:c>
      <x:c r="C88" s="1"/>
      <x:c r="D88" s="1"/>
      <x:c r="E88" s="1"/>
      <x:c r="F88" s="1"/>
    </x:row>
    <x:row r="89" ht="23" customHeight="1">
      <x:c r="A89" s="1" t="n">
        <x:v>70</x:v>
      </x:c>
      <x:c r="B89" s="30" t="n">
        <x:v>16.57</x:v>
      </x:c>
      <x:c r="C89" s="1"/>
      <x:c r="D89" s="1"/>
      <x:c r="E89" s="1"/>
      <x:c r="F89" s="1"/>
    </x:row>
    <x:row r="90" ht="23" customHeight="1">
      <x:c r="A90" s="1"/>
      <x:c r="B90" s="1"/>
      <x:c r="C90" s="1"/>
      <x:c r="D90" s="1"/>
      <x:c r="E90" s="1"/>
      <x:c r="F90" s="1"/>
    </x:row>
    <x:row r="91" ht="23" customHeight="1">
      <x:c r="A91" s="1"/>
      <x:c r="B91" s="1"/>
      <x:c r="C91" s="1"/>
      <x:c r="D91" s="1"/>
      <x:c r="E91" s="1"/>
      <x:c r="F91" s="1"/>
    </x:row>
    <x:row r="92" ht="23" customHeight="1">
      <x:c r="A92" s="1"/>
      <x:c r="B92" s="1"/>
      <x:c r="C92" s="1"/>
      <x:c r="D92" s="1"/>
      <x:c r="E92" s="1"/>
      <x:c r="F92" s="1"/>
    </x:row>
    <x:row r="93" ht="23" customHeight="1">
      <x:c r="A93" s="1"/>
      <x:c r="B93" s="1"/>
      <x:c r="C93" s="1"/>
      <x:c r="D93" s="1"/>
      <x:c r="E93" s="1"/>
      <x:c r="F93" s="1"/>
    </x:row>
  </x:sheetData>
  <x:mergeCells>
    <x:mergeCell ref="A1:F1"/>
    <x:mergeCell ref="A2:F2"/>
    <x:mergeCell ref="A3:F3"/>
    <x:mergeCell ref="A4:F4"/>
    <x:mergeCell ref="A17:F17"/>
  </x:mergeCells>
  <x:pageMargins left="0.7" right="0.7" top="0.75" bottom="0.75" header="0.3" footer="0.3"/>
</x:worksheet>
</file>